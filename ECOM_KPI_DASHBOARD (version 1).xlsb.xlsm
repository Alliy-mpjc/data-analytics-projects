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Ryan.LAPTOP-9D6PH6MN\Desktop\data analysis\retail analysis\electronic store\"/>
    </mc:Choice>
  </mc:AlternateContent>
  <xr:revisionPtr revIDLastSave="0" documentId="13_ncr:20001_{415807B9-9093-44B5-87C5-16F62EE4A5C9}" xr6:coauthVersionLast="47" xr6:coauthVersionMax="47" xr10:uidLastSave="{00000000-0000-0000-0000-000000000000}"/>
  <bookViews>
    <workbookView xWindow="-120" yWindow="-120" windowWidth="20730" windowHeight="11160" activeTab="1" xr2:uid="{00000000-000D-0000-FFFF-FFFF00000000}"/>
  </bookViews>
  <sheets>
    <sheet name="Sheet2" sheetId="15" r:id="rId1"/>
    <sheet name="Dashboard" sheetId="14" r:id="rId2"/>
    <sheet name="master_data_2" sheetId="11" r:id="rId3"/>
    <sheet name="sales date" sheetId="7" r:id="rId4"/>
    <sheet name="warehouse id" sheetId="10" r:id="rId5"/>
  </sheets>
  <definedNames>
    <definedName name="_xlcn.WorksheetConnection_master_data.xlsxsales_date1" hidden="1">sales_date[]</definedName>
    <definedName name="_xlcn.WorksheetConnection_master_data.xlsxwarehouse_id1" hidden="1">warehouse_id[]</definedName>
    <definedName name="_xlcn.WorksheetConnection_master_data_2.xlsxsales_data1" hidden="1">sales_data[]</definedName>
    <definedName name="ExternalData_2" localSheetId="3" hidden="1">'sales date'!$A$1:$E$366</definedName>
    <definedName name="ExternalData_3" localSheetId="4" hidden="1">'warehouse id'!$A$1:$B$4</definedName>
    <definedName name="ExternalData_4" localSheetId="2" hidden="1">master_data_2!$A$1:$M$501</definedName>
    <definedName name="Slicer_Month">#N/A</definedName>
  </definedNames>
  <calcPr calcId="191029"/>
  <pivotCaches>
    <pivotCache cacheId="860" r:id="rId6"/>
    <pivotCache cacheId="863" r:id="rId7"/>
    <pivotCache cacheId="1139" r:id="rId8"/>
    <pivotCache cacheId="1142" r:id="rId9"/>
    <pivotCache cacheId="1145" r:id="rId10"/>
    <pivotCache cacheId="1148" r:id="rId11"/>
    <pivotCache cacheId="1151" r:id="rId12"/>
    <pivotCache cacheId="1154" r:id="rId13"/>
    <pivotCache cacheId="1157" r:id="rId14"/>
  </pivotCaches>
  <fileRecoveryPr repairLoad="1"/>
  <extLst>
    <ext xmlns:x14="http://schemas.microsoft.com/office/spreadsheetml/2009/9/main" uri="{876F7934-8845-4945-9796-88D515C7AA90}">
      <x14:pivotCaches>
        <pivotCache cacheId="838" r:id="rId15"/>
      </x14:pivotCaches>
    </ex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ales_data" name="sales_data" connection="WorksheetConnection_master_data_2.xlsx!sales_data"/>
          <x15:modelTable id="warehouse_id" name="warehouse_id" connection="WorksheetConnection_master_data.xlsx!warehouse_id"/>
          <x15:modelTable id="sales_date" name="sales_date" connection="WorksheetConnection_master_data.xlsx!sales_date"/>
        </x15:modelTables>
        <x15:modelRelationships>
          <x15:modelRelationship fromTable="sales_data" fromColumn="date" toTable="sales_date" toColumn="date"/>
          <x15:modelRelationship fromTable="sales_data" fromColumn="warehouse id" toTable="warehouse_id" toColumn="warehouse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 i="15" l="1"/>
  <c r="H501" i="11"/>
  <c r="H500" i="11"/>
  <c r="H499" i="11"/>
  <c r="H498" i="11"/>
  <c r="H497" i="11"/>
  <c r="H496" i="11"/>
  <c r="H495" i="11"/>
  <c r="H494" i="11"/>
  <c r="H493" i="11"/>
  <c r="H492" i="11"/>
  <c r="H491" i="11"/>
  <c r="H490" i="11"/>
  <c r="H489" i="11"/>
  <c r="H488" i="11"/>
  <c r="H487" i="11"/>
  <c r="H486" i="11"/>
  <c r="H485" i="11"/>
  <c r="H484" i="11"/>
  <c r="H483" i="11"/>
  <c r="H482" i="11"/>
  <c r="H481" i="11"/>
  <c r="H480" i="11"/>
  <c r="H479" i="11"/>
  <c r="H478" i="11"/>
  <c r="H477" i="11"/>
  <c r="H476" i="11"/>
  <c r="H475" i="11"/>
  <c r="H474" i="11"/>
  <c r="H473" i="11"/>
  <c r="H472" i="11"/>
  <c r="H471" i="11"/>
  <c r="H470" i="11"/>
  <c r="H469" i="11"/>
  <c r="H468" i="11"/>
  <c r="H467" i="11"/>
  <c r="H466" i="11"/>
  <c r="H465" i="11"/>
  <c r="H464" i="11"/>
  <c r="H463" i="11"/>
  <c r="H462" i="11"/>
  <c r="H461" i="11"/>
  <c r="H460" i="11"/>
  <c r="H459" i="11"/>
  <c r="H458" i="11"/>
  <c r="H457" i="11"/>
  <c r="H456" i="11"/>
  <c r="H455" i="11"/>
  <c r="H454" i="11"/>
  <c r="H453" i="11"/>
  <c r="H452" i="11"/>
  <c r="H451" i="11"/>
  <c r="H450" i="11"/>
  <c r="H449" i="11"/>
  <c r="H448" i="11"/>
  <c r="H447" i="11"/>
  <c r="H446" i="11"/>
  <c r="H445" i="11"/>
  <c r="H444" i="11"/>
  <c r="H443" i="11"/>
  <c r="H442" i="11"/>
  <c r="H441" i="11"/>
  <c r="H440" i="11"/>
  <c r="H439" i="11"/>
  <c r="H438" i="11"/>
  <c r="H437" i="11"/>
  <c r="H436" i="11"/>
  <c r="H435" i="11"/>
  <c r="H434" i="11"/>
  <c r="H433" i="11"/>
  <c r="H432" i="11"/>
  <c r="H431" i="11"/>
  <c r="H430" i="11"/>
  <c r="H429" i="11"/>
  <c r="H428" i="11"/>
  <c r="H427" i="11"/>
  <c r="H426" i="11"/>
  <c r="H425" i="11"/>
  <c r="H424" i="11"/>
  <c r="H423" i="11"/>
  <c r="H422" i="11"/>
  <c r="H421" i="11"/>
  <c r="H420" i="11"/>
  <c r="H419" i="11"/>
  <c r="H418" i="11"/>
  <c r="H417" i="11"/>
  <c r="H416" i="11"/>
  <c r="H415" i="11"/>
  <c r="H414" i="11"/>
  <c r="H413" i="11"/>
  <c r="H412" i="11"/>
  <c r="H411" i="11"/>
  <c r="H410" i="11"/>
  <c r="H409" i="11"/>
  <c r="H408" i="11"/>
  <c r="H407" i="11"/>
  <c r="H406" i="11"/>
  <c r="H405" i="11"/>
  <c r="H404" i="11"/>
  <c r="H403" i="11"/>
  <c r="H402" i="11"/>
  <c r="H401" i="11"/>
  <c r="H400" i="11"/>
  <c r="H399" i="11"/>
  <c r="H398" i="11"/>
  <c r="H397" i="11"/>
  <c r="H396" i="11"/>
  <c r="H395" i="11"/>
  <c r="H394" i="11"/>
  <c r="H393" i="11"/>
  <c r="H392" i="11"/>
  <c r="H391" i="11"/>
  <c r="H390" i="11"/>
  <c r="H389" i="11"/>
  <c r="H388" i="11"/>
  <c r="H387" i="11"/>
  <c r="H386" i="11"/>
  <c r="H385" i="11"/>
  <c r="H384" i="11"/>
  <c r="H383" i="11"/>
  <c r="H382" i="11"/>
  <c r="H381" i="11"/>
  <c r="H380" i="11"/>
  <c r="H379" i="11"/>
  <c r="H378" i="11"/>
  <c r="H377" i="11"/>
  <c r="H376" i="11"/>
  <c r="H375" i="11"/>
  <c r="H374" i="11"/>
  <c r="H373" i="11"/>
  <c r="H372" i="11"/>
  <c r="H371" i="11"/>
  <c r="H370" i="11"/>
  <c r="H369" i="11"/>
  <c r="H368" i="11"/>
  <c r="H367" i="11"/>
  <c r="H366" i="11"/>
  <c r="H365" i="11"/>
  <c r="H364" i="11"/>
  <c r="H363" i="11"/>
  <c r="H362" i="11"/>
  <c r="H361" i="11"/>
  <c r="H360" i="11"/>
  <c r="H359" i="11"/>
  <c r="H358" i="11"/>
  <c r="H357" i="11"/>
  <c r="H356" i="11"/>
  <c r="H355" i="11"/>
  <c r="H354" i="11"/>
  <c r="H353" i="11"/>
  <c r="H352" i="11"/>
  <c r="H351" i="11"/>
  <c r="H350" i="11"/>
  <c r="H349" i="11"/>
  <c r="H348" i="11"/>
  <c r="H347" i="11"/>
  <c r="H346" i="11"/>
  <c r="H345" i="11"/>
  <c r="H344" i="11"/>
  <c r="H343" i="11"/>
  <c r="H342" i="11"/>
  <c r="H341" i="11"/>
  <c r="H340" i="11"/>
  <c r="H339" i="11"/>
  <c r="H338" i="11"/>
  <c r="H337" i="11"/>
  <c r="H336" i="11"/>
  <c r="H335" i="11"/>
  <c r="H334" i="11"/>
  <c r="H333" i="11"/>
  <c r="H332" i="11"/>
  <c r="H331" i="11"/>
  <c r="H330" i="11"/>
  <c r="H329" i="11"/>
  <c r="H328" i="11"/>
  <c r="H327" i="11"/>
  <c r="H326" i="11"/>
  <c r="H325" i="11"/>
  <c r="H324" i="11"/>
  <c r="H323" i="11"/>
  <c r="H322" i="11"/>
  <c r="H321" i="11"/>
  <c r="H320" i="11"/>
  <c r="H319" i="11"/>
  <c r="H318" i="11"/>
  <c r="H317" i="11"/>
  <c r="H316" i="11"/>
  <c r="H315" i="11"/>
  <c r="H314" i="11"/>
  <c r="H313" i="11"/>
  <c r="H312" i="11"/>
  <c r="H311" i="11"/>
  <c r="H310" i="11"/>
  <c r="H309" i="11"/>
  <c r="H308" i="11"/>
  <c r="H307" i="11"/>
  <c r="H306" i="11"/>
  <c r="H305" i="11"/>
  <c r="H304" i="11"/>
  <c r="H303" i="11"/>
  <c r="H302" i="11"/>
  <c r="H301" i="11"/>
  <c r="H300" i="11"/>
  <c r="H299" i="11"/>
  <c r="H298" i="11"/>
  <c r="H297" i="11"/>
  <c r="H296" i="11"/>
  <c r="H295" i="11"/>
  <c r="H294" i="11"/>
  <c r="H293" i="11"/>
  <c r="H292" i="11"/>
  <c r="H291" i="11"/>
  <c r="H290" i="11"/>
  <c r="H289" i="11"/>
  <c r="H288" i="11"/>
  <c r="H287" i="11"/>
  <c r="H286" i="11"/>
  <c r="H285" i="11"/>
  <c r="H284" i="11"/>
  <c r="H283" i="11"/>
  <c r="H282" i="11"/>
  <c r="H281" i="11"/>
  <c r="H280" i="11"/>
  <c r="H279" i="11"/>
  <c r="H278" i="11"/>
  <c r="H277" i="11"/>
  <c r="H276" i="11"/>
  <c r="H275" i="11"/>
  <c r="H274" i="11"/>
  <c r="H273" i="11"/>
  <c r="H272" i="11"/>
  <c r="H271" i="11"/>
  <c r="H270" i="11"/>
  <c r="H269" i="11"/>
  <c r="H268" i="11"/>
  <c r="H267" i="11"/>
  <c r="H266" i="11"/>
  <c r="H265" i="11"/>
  <c r="H264" i="11"/>
  <c r="H263" i="11"/>
  <c r="H262" i="11"/>
  <c r="H261" i="11"/>
  <c r="H260" i="11"/>
  <c r="H259" i="11"/>
  <c r="H258" i="11"/>
  <c r="H257" i="11"/>
  <c r="H256" i="11"/>
  <c r="H255" i="11"/>
  <c r="H254" i="11"/>
  <c r="H253" i="11"/>
  <c r="H252" i="11"/>
  <c r="H251" i="11"/>
  <c r="H250" i="11"/>
  <c r="H249" i="11"/>
  <c r="H248" i="11"/>
  <c r="H247" i="11"/>
  <c r="H246" i="11"/>
  <c r="H245" i="11"/>
  <c r="H244" i="11"/>
  <c r="H243" i="11"/>
  <c r="H242" i="11"/>
  <c r="H241" i="11"/>
  <c r="H240" i="11"/>
  <c r="H239" i="11"/>
  <c r="H238" i="11"/>
  <c r="H237" i="11"/>
  <c r="H236" i="11"/>
  <c r="H235" i="11"/>
  <c r="H234" i="11"/>
  <c r="H233" i="11"/>
  <c r="H232" i="11"/>
  <c r="H231" i="11"/>
  <c r="H230" i="11"/>
  <c r="H229" i="11"/>
  <c r="H228" i="11"/>
  <c r="H227" i="11"/>
  <c r="H226" i="11"/>
  <c r="H225" i="11"/>
  <c r="H224" i="11"/>
  <c r="H223" i="11"/>
  <c r="H222" i="11"/>
  <c r="H221" i="11"/>
  <c r="H220" i="11"/>
  <c r="H219" i="11"/>
  <c r="H218" i="11"/>
  <c r="H217" i="11"/>
  <c r="H216" i="11"/>
  <c r="H215" i="11"/>
  <c r="H214" i="11"/>
  <c r="H213" i="11"/>
  <c r="H212" i="11"/>
  <c r="H211" i="11"/>
  <c r="H210" i="11"/>
  <c r="H209" i="11"/>
  <c r="H208" i="11"/>
  <c r="H207" i="11"/>
  <c r="H206" i="11"/>
  <c r="H205" i="11"/>
  <c r="H204" i="11"/>
  <c r="H203" i="11"/>
  <c r="H202" i="11"/>
  <c r="H201" i="11"/>
  <c r="H200" i="11"/>
  <c r="H199" i="11"/>
  <c r="H198" i="11"/>
  <c r="H197" i="11"/>
  <c r="H196" i="11"/>
  <c r="H195" i="11"/>
  <c r="H194" i="11"/>
  <c r="H193" i="11"/>
  <c r="H192" i="11"/>
  <c r="H191" i="11"/>
  <c r="H190" i="11"/>
  <c r="H189" i="11"/>
  <c r="H188" i="11"/>
  <c r="H187" i="11"/>
  <c r="H186" i="11"/>
  <c r="H185" i="11"/>
  <c r="H184" i="11"/>
  <c r="H183" i="11"/>
  <c r="H182" i="11"/>
  <c r="H181" i="11"/>
  <c r="H180" i="11"/>
  <c r="H179" i="11"/>
  <c r="H178" i="11"/>
  <c r="H177" i="11"/>
  <c r="H176" i="11"/>
  <c r="H175" i="11"/>
  <c r="H174" i="11"/>
  <c r="H173" i="11"/>
  <c r="H172" i="11"/>
  <c r="H171" i="11"/>
  <c r="H170" i="11"/>
  <c r="H169" i="11"/>
  <c r="H168" i="11"/>
  <c r="H167" i="11"/>
  <c r="H166" i="11"/>
  <c r="H165" i="11"/>
  <c r="H164" i="11"/>
  <c r="H163" i="11"/>
  <c r="H162" i="11"/>
  <c r="H161" i="11"/>
  <c r="H160" i="11"/>
  <c r="H159" i="11"/>
  <c r="H158" i="11"/>
  <c r="H157" i="11"/>
  <c r="H156" i="11"/>
  <c r="H155" i="11"/>
  <c r="H154" i="11"/>
  <c r="H153" i="11"/>
  <c r="H152" i="11"/>
  <c r="H151" i="11"/>
  <c r="H150" i="11"/>
  <c r="H149" i="11"/>
  <c r="H148" i="11"/>
  <c r="H147" i="11"/>
  <c r="H146" i="11"/>
  <c r="H145" i="11"/>
  <c r="H144" i="11"/>
  <c r="H143" i="11"/>
  <c r="H142" i="11"/>
  <c r="H141" i="11"/>
  <c r="H140" i="11"/>
  <c r="H139" i="11"/>
  <c r="H138" i="11"/>
  <c r="H137" i="11"/>
  <c r="H136" i="11"/>
  <c r="H135" i="11"/>
  <c r="H134" i="11"/>
  <c r="H133" i="11"/>
  <c r="H132" i="11"/>
  <c r="H131" i="11"/>
  <c r="H130" i="11"/>
  <c r="H129" i="11"/>
  <c r="H128" i="11"/>
  <c r="H127" i="11"/>
  <c r="H126" i="11"/>
  <c r="H125" i="11"/>
  <c r="H124" i="11"/>
  <c r="H123" i="11"/>
  <c r="H122" i="11"/>
  <c r="H121" i="11"/>
  <c r="H120" i="11"/>
  <c r="H119" i="11"/>
  <c r="H118" i="11"/>
  <c r="H117" i="11"/>
  <c r="H116" i="11"/>
  <c r="H115" i="11"/>
  <c r="H114" i="11"/>
  <c r="H113" i="11"/>
  <c r="H112" i="11"/>
  <c r="H111" i="11"/>
  <c r="H110" i="11"/>
  <c r="H109" i="11"/>
  <c r="H108" i="11"/>
  <c r="H107" i="11"/>
  <c r="H106" i="11"/>
  <c r="H105" i="11"/>
  <c r="H104" i="11"/>
  <c r="H103" i="11"/>
  <c r="H102" i="11"/>
  <c r="H101" i="11"/>
  <c r="H100" i="11"/>
  <c r="H99" i="11"/>
  <c r="H98" i="11"/>
  <c r="H97" i="11"/>
  <c r="H96" i="11"/>
  <c r="H95" i="11"/>
  <c r="H94" i="11"/>
  <c r="H93" i="11"/>
  <c r="H92" i="11"/>
  <c r="H91" i="11"/>
  <c r="H90" i="11"/>
  <c r="H89" i="11"/>
  <c r="H88" i="11"/>
  <c r="H87" i="11"/>
  <c r="H86" i="11"/>
  <c r="H85" i="11"/>
  <c r="H84" i="11"/>
  <c r="H83" i="11"/>
  <c r="H82" i="11"/>
  <c r="H81" i="11"/>
  <c r="H80" i="11"/>
  <c r="H79" i="11"/>
  <c r="H78" i="11"/>
  <c r="H77" i="11"/>
  <c r="H76" i="11"/>
  <c r="H75" i="11"/>
  <c r="H74" i="11"/>
  <c r="H73" i="11"/>
  <c r="H72" i="11"/>
  <c r="H71" i="11"/>
  <c r="H70" i="11"/>
  <c r="H69" i="11"/>
  <c r="H68" i="11"/>
  <c r="H67" i="11"/>
  <c r="H66" i="11"/>
  <c r="H65" i="11"/>
  <c r="H64" i="11"/>
  <c r="H63" i="11"/>
  <c r="H62" i="11"/>
  <c r="H61" i="11"/>
  <c r="H60" i="11"/>
  <c r="H59" i="11"/>
  <c r="H58" i="11"/>
  <c r="H57" i="11"/>
  <c r="H56" i="11"/>
  <c r="H55" i="11"/>
  <c r="H54" i="11"/>
  <c r="H53" i="11"/>
  <c r="H52" i="11"/>
  <c r="H51" i="11"/>
  <c r="H50" i="11"/>
  <c r="H49" i="11"/>
  <c r="H48" i="11"/>
  <c r="H47" i="11"/>
  <c r="H46" i="11"/>
  <c r="H45" i="11"/>
  <c r="H44" i="11"/>
  <c r="H43" i="11"/>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H14" i="11"/>
  <c r="H13" i="11"/>
  <c r="H12" i="11"/>
  <c r="H11" i="11"/>
  <c r="H10" i="11"/>
  <c r="H9" i="11"/>
  <c r="H8" i="11"/>
  <c r="H7" i="11"/>
  <c r="H6" i="11"/>
  <c r="H5" i="11"/>
  <c r="H4" i="11"/>
  <c r="H3" i="11"/>
  <c r="H2" i="11"/>
  <c r="H27" i="15"/>
  <c r="H25" i="15"/>
  <c r="H23" i="15"/>
  <c r="H19" i="15"/>
  <c r="H17" i="15"/>
  <c r="E3" i="15"/>
  <c r="E5" i="15" s="1"/>
  <c r="H31" i="15" l="1"/>
  <c r="H21"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6B40E0-3407-416F-A5AC-FDC5AFF6FDB4}" keepAlive="1" name="Query - master_data_2" description="Connection to the 'master_data_2' query in the workbook." type="5" refreshedVersion="0" background="1">
    <dbPr connection="Provider=Microsoft.Mashup.OleDb.1;Data Source=$Workbook$;Location=master_data_2;Extended Properties=&quot;&quot;" command="SELECT * FROM [master_data_2]"/>
  </connection>
  <connection id="2" xr16:uid="{3C62F8BC-A356-4206-A6DA-79536A6CF104}" keepAlive="1" name="Query - masterdata" description="Connection to the 'masterdata' query in the workbook." type="5" refreshedVersion="7" background="1" saveData="1">
    <dbPr connection="Provider=Microsoft.Mashup.OleDb.1;Data Source=$Workbook$;Location=masterdata;Extended Properties=&quot;&quot;" command="SELECT * FROM [masterdata]"/>
  </connection>
  <connection id="3" xr16:uid="{C65CD34A-DFDE-4942-98E9-7E908D6C4E9C}" keepAlive="1" name="Query - sales data" description="Connection to the 'sales data' query in the workbook." type="5" refreshedVersion="7" background="1" saveData="1">
    <dbPr connection="Provider=Microsoft.Mashup.OleDb.1;Data Source=$Workbook$;Location=&quot;sales data&quot;;Extended Properties=&quot;&quot;" command="SELECT * FROM [sales data]"/>
  </connection>
  <connection id="4" xr16:uid="{049B9B33-B68A-4425-ADD6-6671544AC97C}" keepAlive="1" name="Query - sales date" description="Connection to the 'sales date' query in the workbook." type="5" refreshedVersion="7" background="1" saveData="1">
    <dbPr connection="Provider=Microsoft.Mashup.OleDb.1;Data Source=$Workbook$;Location=&quot;sales date&quot;;Extended Properties=&quot;&quot;" command="SELECT * FROM [sales date]"/>
  </connection>
  <connection id="5" xr16:uid="{6A5CF5BE-0192-47B0-8248-07027297AC07}" keepAlive="1" name="Query - warehouse id" description="Connection to the 'warehouse id' query in the workbook." type="5" refreshedVersion="7" background="1" saveData="1">
    <dbPr connection="Provider=Microsoft.Mashup.OleDb.1;Data Source=$Workbook$;Location=&quot;warehouse id&quot;;Extended Properties=&quot;&quot;" command="SELECT * FROM [warehouse id]"/>
  </connection>
  <connection id="6" xr16:uid="{139F579A-6A3C-4A25-B2C1-9571A9AF7E4E}"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4FA30EE8-D95A-4A25-8D02-86AC46AC2601}" name="WorksheetConnection_master_data.xlsx!sales_date" type="102" refreshedVersion="7" minRefreshableVersion="5">
    <extLst>
      <ext xmlns:x15="http://schemas.microsoft.com/office/spreadsheetml/2010/11/main" uri="{DE250136-89BD-433C-8126-D09CA5730AF9}">
        <x15:connection id="sales_date">
          <x15:rangePr sourceName="_xlcn.WorksheetConnection_master_data.xlsxsales_date1"/>
        </x15:connection>
      </ext>
    </extLst>
  </connection>
  <connection id="8" xr16:uid="{998729B9-57EB-4F39-9B80-6C3B8188F383}" name="WorksheetConnection_master_data.xlsx!warehouse_id" type="102" refreshedVersion="7" minRefreshableVersion="5">
    <extLst>
      <ext xmlns:x15="http://schemas.microsoft.com/office/spreadsheetml/2010/11/main" uri="{DE250136-89BD-433C-8126-D09CA5730AF9}">
        <x15:connection id="warehouse_id">
          <x15:rangePr sourceName="_xlcn.WorksheetConnection_master_data.xlsxwarehouse_id1"/>
        </x15:connection>
      </ext>
    </extLst>
  </connection>
  <connection id="9" xr16:uid="{2393F2DC-51A8-4781-A9A8-EB9F438BC059}" name="WorksheetConnection_master_data_2.xlsx!sales_data" type="102" refreshedVersion="7" minRefreshableVersion="5" saveData="1">
    <extLst>
      <ext xmlns:x15="http://schemas.microsoft.com/office/spreadsheetml/2010/11/main" uri="{DE250136-89BD-433C-8126-D09CA5730AF9}">
        <x15:connection id="sales_data">
          <x15:rangePr sourceName="_xlcn.WorksheetConnection_master_data_2.xlsxsales_data1"/>
        </x15:connection>
      </ext>
    </extLst>
  </connection>
</connections>
</file>

<file path=xl/sharedStrings.xml><?xml version="1.0" encoding="utf-8"?>
<sst xmlns="http://schemas.openxmlformats.org/spreadsheetml/2006/main" count="1829" uniqueCount="1057">
  <si>
    <t>order_id</t>
  </si>
  <si>
    <t>customer_id</t>
  </si>
  <si>
    <t>date</t>
  </si>
  <si>
    <t>order_price</t>
  </si>
  <si>
    <t>delivery_charges</t>
  </si>
  <si>
    <t>coupon_discount</t>
  </si>
  <si>
    <t>is_expedited_delivery</t>
  </si>
  <si>
    <t>distance_to_nearest_warehouse</t>
  </si>
  <si>
    <t>ORD182494</t>
  </si>
  <si>
    <t>ID6197211592</t>
  </si>
  <si>
    <t>Thompson</t>
  </si>
  <si>
    <t>ORD395518</t>
  </si>
  <si>
    <t>ID0282825849</t>
  </si>
  <si>
    <t>ORD494479</t>
  </si>
  <si>
    <t>ID0579391891</t>
  </si>
  <si>
    <t>ORD019224</t>
  </si>
  <si>
    <t>ID4544561904</t>
  </si>
  <si>
    <t>ORD104032</t>
  </si>
  <si>
    <t>ID6231506320</t>
  </si>
  <si>
    <t>ORD146760</t>
  </si>
  <si>
    <t>ID0311654900</t>
  </si>
  <si>
    <t>Bakers</t>
  </si>
  <si>
    <t>ORD337984</t>
  </si>
  <si>
    <t>ID3394768956</t>
  </si>
  <si>
    <t>ORD072312</t>
  </si>
  <si>
    <t>ID0774517121</t>
  </si>
  <si>
    <t>ORD377837</t>
  </si>
  <si>
    <t>ID4769265355</t>
  </si>
  <si>
    <t>ORD462194</t>
  </si>
  <si>
    <t>ID5301568579</t>
  </si>
  <si>
    <t>ORD034800</t>
  </si>
  <si>
    <t>ID4283908179</t>
  </si>
  <si>
    <t>ORD361636</t>
  </si>
  <si>
    <t>ID0589500304</t>
  </si>
  <si>
    <t>ORD124395</t>
  </si>
  <si>
    <t>ID0702352304</t>
  </si>
  <si>
    <t>ORD255642</t>
  </si>
  <si>
    <t>ID3085953531</t>
  </si>
  <si>
    <t>ORD496722</t>
  </si>
  <si>
    <t>ID0589449820</t>
  </si>
  <si>
    <t>ORD449130</t>
  </si>
  <si>
    <t>ID0356449717</t>
  </si>
  <si>
    <t>ORD036056</t>
  </si>
  <si>
    <t>ID0767733196</t>
  </si>
  <si>
    <t>ORD428910</t>
  </si>
  <si>
    <t>ID2180614753</t>
  </si>
  <si>
    <t>ORD007249</t>
  </si>
  <si>
    <t>ID0767586831</t>
  </si>
  <si>
    <t>ORD232940</t>
  </si>
  <si>
    <t>ID2020835025</t>
  </si>
  <si>
    <t>ORD178590</t>
  </si>
  <si>
    <t>ID6167441029</t>
  </si>
  <si>
    <t>ORD157688</t>
  </si>
  <si>
    <t>ID1404219802</t>
  </si>
  <si>
    <t>ORD314979</t>
  </si>
  <si>
    <t>ID2187972536</t>
  </si>
  <si>
    <t>ORD339672</t>
  </si>
  <si>
    <t>ID0129952519</t>
  </si>
  <si>
    <t>ORD239838</t>
  </si>
  <si>
    <t>ID1888086809</t>
  </si>
  <si>
    <t>ORD340641</t>
  </si>
  <si>
    <t>ID3130999251</t>
  </si>
  <si>
    <t>ORD330543</t>
  </si>
  <si>
    <t>ID0282854607</t>
  </si>
  <si>
    <t>ORD052585</t>
  </si>
  <si>
    <t>ID1479897546</t>
  </si>
  <si>
    <t>ORD035930</t>
  </si>
  <si>
    <t>ID0593055535</t>
  </si>
  <si>
    <t>ORD406814</t>
  </si>
  <si>
    <t>ID0452381262</t>
  </si>
  <si>
    <t>ORD069995</t>
  </si>
  <si>
    <t>ID0576879097</t>
  </si>
  <si>
    <t>ORD383725</t>
  </si>
  <si>
    <t>ID2020813862</t>
  </si>
  <si>
    <t>ORD026682</t>
  </si>
  <si>
    <t>ID0076459536</t>
  </si>
  <si>
    <t>ORD349525</t>
  </si>
  <si>
    <t>ID1833115014</t>
  </si>
  <si>
    <t>ORD215329</t>
  </si>
  <si>
    <t>ID0580186550</t>
  </si>
  <si>
    <t>ORD387808</t>
  </si>
  <si>
    <t>ID0387153095</t>
  </si>
  <si>
    <t>nickolson</t>
  </si>
  <si>
    <t>ORD154758</t>
  </si>
  <si>
    <t>ID0207093524</t>
  </si>
  <si>
    <t>ORD157353</t>
  </si>
  <si>
    <t>ID6167266626</t>
  </si>
  <si>
    <t>ORD430536</t>
  </si>
  <si>
    <t>ID0598399382</t>
  </si>
  <si>
    <t>ORD453282</t>
  </si>
  <si>
    <t>ID0781091686</t>
  </si>
  <si>
    <t>ORD466433</t>
  </si>
  <si>
    <t>ID3218293544</t>
  </si>
  <si>
    <t>ORD481832</t>
  </si>
  <si>
    <t>ID0589473307</t>
  </si>
  <si>
    <t>ORD344472</t>
  </si>
  <si>
    <t>ID5002592919</t>
  </si>
  <si>
    <t>ORD473815</t>
  </si>
  <si>
    <t>ID0588198721</t>
  </si>
  <si>
    <t>ORD098336</t>
  </si>
  <si>
    <t>ID0703556755</t>
  </si>
  <si>
    <t>ORD164452</t>
  </si>
  <si>
    <t>ID4804855254</t>
  </si>
  <si>
    <t>ORD029585</t>
  </si>
  <si>
    <t>ID0248746951</t>
  </si>
  <si>
    <t>ORD212818</t>
  </si>
  <si>
    <t>ID0253027653</t>
  </si>
  <si>
    <t>ORD468449</t>
  </si>
  <si>
    <t>ID0634783945</t>
  </si>
  <si>
    <t>ORD235371</t>
  </si>
  <si>
    <t>ID0589704716</t>
  </si>
  <si>
    <t>ORD403400</t>
  </si>
  <si>
    <t>ID0814816061</t>
  </si>
  <si>
    <t>ORD212584</t>
  </si>
  <si>
    <t>ID0277362770</t>
  </si>
  <si>
    <t>ORD439821</t>
  </si>
  <si>
    <t>ID6167489399</t>
  </si>
  <si>
    <t>ORD288212</t>
  </si>
  <si>
    <t>ID6167440982</t>
  </si>
  <si>
    <t>ORD308765</t>
  </si>
  <si>
    <t>ID0107172471</t>
  </si>
  <si>
    <t>ORD442452</t>
  </si>
  <si>
    <t>ID0582560124</t>
  </si>
  <si>
    <t>ORD370065</t>
  </si>
  <si>
    <t>ID2473002367</t>
  </si>
  <si>
    <t>ORD386513</t>
  </si>
  <si>
    <t>ID0746912612</t>
  </si>
  <si>
    <t>ORD405547</t>
  </si>
  <si>
    <t>ID3213448169</t>
  </si>
  <si>
    <t>ORD476072</t>
  </si>
  <si>
    <t>ID0250774457</t>
  </si>
  <si>
    <t>ORD261924</t>
  </si>
  <si>
    <t>ID0373641803</t>
  </si>
  <si>
    <t>ORD028755</t>
  </si>
  <si>
    <t>ID0283255338</t>
  </si>
  <si>
    <t>ORD363569</t>
  </si>
  <si>
    <t>ID1283637393</t>
  </si>
  <si>
    <t>ORD239056</t>
  </si>
  <si>
    <t>ID0598401527</t>
  </si>
  <si>
    <t>ORD103199</t>
  </si>
  <si>
    <t>ID0711334400</t>
  </si>
  <si>
    <t>ORD288725</t>
  </si>
  <si>
    <t>ID0457365601</t>
  </si>
  <si>
    <t>ORD005232</t>
  </si>
  <si>
    <t>ID0247417091</t>
  </si>
  <si>
    <t>ORD158007</t>
  </si>
  <si>
    <t>ID3106293373</t>
  </si>
  <si>
    <t>ORD345282</t>
  </si>
  <si>
    <t>ID6167417944</t>
  </si>
  <si>
    <t>ORD355878</t>
  </si>
  <si>
    <t>ID4297530201</t>
  </si>
  <si>
    <t>ORD122655</t>
  </si>
  <si>
    <t>ID1725216621</t>
  </si>
  <si>
    <t>ORD371930</t>
  </si>
  <si>
    <t>ID6231506306</t>
  </si>
  <si>
    <t>ORD230298</t>
  </si>
  <si>
    <t>ID0304186956</t>
  </si>
  <si>
    <t>ORD242226</t>
  </si>
  <si>
    <t>ID1152560936</t>
  </si>
  <si>
    <t>ORD228044</t>
  </si>
  <si>
    <t>ID0746912592</t>
  </si>
  <si>
    <t>ORD070810</t>
  </si>
  <si>
    <t>ID0317369540</t>
  </si>
  <si>
    <t>ORD063307</t>
  </si>
  <si>
    <t>ID4418536063</t>
  </si>
  <si>
    <t>ORD016841</t>
  </si>
  <si>
    <t>ID0598348995</t>
  </si>
  <si>
    <t>ORD347594</t>
  </si>
  <si>
    <t>ID0332796790</t>
  </si>
  <si>
    <t>ORD457758</t>
  </si>
  <si>
    <t>ID0401416145</t>
  </si>
  <si>
    <t>ORD300049</t>
  </si>
  <si>
    <t>ID0387704653</t>
  </si>
  <si>
    <t>ORD016018</t>
  </si>
  <si>
    <t>ID0579501050</t>
  </si>
  <si>
    <t>ORD137495</t>
  </si>
  <si>
    <t>ID5402876165</t>
  </si>
  <si>
    <t>ORD319178</t>
  </si>
  <si>
    <t>ID4716795173</t>
  </si>
  <si>
    <t>ORD076632</t>
  </si>
  <si>
    <t>ID0588200381</t>
  </si>
  <si>
    <t>ORD138302</t>
  </si>
  <si>
    <t>ID0131247323</t>
  </si>
  <si>
    <t>ORD208711</t>
  </si>
  <si>
    <t>ID0130040956</t>
  </si>
  <si>
    <t>ORD168543</t>
  </si>
  <si>
    <t>ID1982456970</t>
  </si>
  <si>
    <t>ORD151330</t>
  </si>
  <si>
    <t>ID4419686624</t>
  </si>
  <si>
    <t>ORD300924</t>
  </si>
  <si>
    <t>ID0277366130</t>
  </si>
  <si>
    <t>ORD141734</t>
  </si>
  <si>
    <t>ID2325395490</t>
  </si>
  <si>
    <t>ORD202296</t>
  </si>
  <si>
    <t>ID0591427998</t>
  </si>
  <si>
    <t>ORD235478</t>
  </si>
  <si>
    <t>ID4996764096</t>
  </si>
  <si>
    <t>ORD051670</t>
  </si>
  <si>
    <t>ID3094966837</t>
  </si>
  <si>
    <t>ORD456259</t>
  </si>
  <si>
    <t>ID1277988762</t>
  </si>
  <si>
    <t>ORD354413</t>
  </si>
  <si>
    <t>ID2948774564</t>
  </si>
  <si>
    <t>ORD182183</t>
  </si>
  <si>
    <t>ID0233270890</t>
  </si>
  <si>
    <t>ORD397354</t>
  </si>
  <si>
    <t>ID0247024616</t>
  </si>
  <si>
    <t>ORD324141</t>
  </si>
  <si>
    <t>ID6167441023</t>
  </si>
  <si>
    <t>ORD226452</t>
  </si>
  <si>
    <t>ID0634783578</t>
  </si>
  <si>
    <t>ORD043067</t>
  </si>
  <si>
    <t>ID2193369804</t>
  </si>
  <si>
    <t>ORD228614</t>
  </si>
  <si>
    <t>ID0298045612</t>
  </si>
  <si>
    <t>ORD066333</t>
  </si>
  <si>
    <t>ID0349920091</t>
  </si>
  <si>
    <t>ORD452012</t>
  </si>
  <si>
    <t>ID6221450539</t>
  </si>
  <si>
    <t>ORD222362</t>
  </si>
  <si>
    <t>ID0767585458</t>
  </si>
  <si>
    <t>ORD058255</t>
  </si>
  <si>
    <t>ID2700682442</t>
  </si>
  <si>
    <t>ORD315179</t>
  </si>
  <si>
    <t>ID0664378464</t>
  </si>
  <si>
    <t>ORD170004</t>
  </si>
  <si>
    <t>ID2207663849</t>
  </si>
  <si>
    <t>ORD075922</t>
  </si>
  <si>
    <t>ID0758612178</t>
  </si>
  <si>
    <t>ORD189717</t>
  </si>
  <si>
    <t>ID0844410211</t>
  </si>
  <si>
    <t>ORD303289</t>
  </si>
  <si>
    <t>ID6226013492</t>
  </si>
  <si>
    <t>ORD016275</t>
  </si>
  <si>
    <t>ID6282174092</t>
  </si>
  <si>
    <t>ORD233901</t>
  </si>
  <si>
    <t>ID0579492570</t>
  </si>
  <si>
    <t>ORD357914</t>
  </si>
  <si>
    <t>ID2086406859</t>
  </si>
  <si>
    <t>ORD293148</t>
  </si>
  <si>
    <t>ID1681675856</t>
  </si>
  <si>
    <t>ORD202010</t>
  </si>
  <si>
    <t>ID2189358918</t>
  </si>
  <si>
    <t>ORD065661</t>
  </si>
  <si>
    <t>ID4028046142</t>
  </si>
  <si>
    <t>ORD226730</t>
  </si>
  <si>
    <t>ID0331417136</t>
  </si>
  <si>
    <t>ORD322017</t>
  </si>
  <si>
    <t>ID0591429491</t>
  </si>
  <si>
    <t>ORD452642</t>
  </si>
  <si>
    <t>ID4633638470</t>
  </si>
  <si>
    <t>ORD059126</t>
  </si>
  <si>
    <t>ID4061053456</t>
  </si>
  <si>
    <t>ORD417453</t>
  </si>
  <si>
    <t>ID5668009793</t>
  </si>
  <si>
    <t>ORD426744</t>
  </si>
  <si>
    <t>ID0233314845</t>
  </si>
  <si>
    <t>ORD365314</t>
  </si>
  <si>
    <t>ID3970811101</t>
  </si>
  <si>
    <t>ORD239025</t>
  </si>
  <si>
    <t>ID1449308562</t>
  </si>
  <si>
    <t>ORD381266</t>
  </si>
  <si>
    <t>ID6202471425</t>
  </si>
  <si>
    <t>ORD337877</t>
  </si>
  <si>
    <t>ID0576844518</t>
  </si>
  <si>
    <t>ORD275535</t>
  </si>
  <si>
    <t>ID4520380451</t>
  </si>
  <si>
    <t>ORD059963</t>
  </si>
  <si>
    <t>ID4787373515</t>
  </si>
  <si>
    <t>ORD188735</t>
  </si>
  <si>
    <t>ID6167413281</t>
  </si>
  <si>
    <t>ORD226150</t>
  </si>
  <si>
    <t>ID0775942446</t>
  </si>
  <si>
    <t>ORD075963</t>
  </si>
  <si>
    <t>ID0579408070</t>
  </si>
  <si>
    <t>ORD473288</t>
  </si>
  <si>
    <t>ID0131247270</t>
  </si>
  <si>
    <t>ORD439316</t>
  </si>
  <si>
    <t>ID2451238134</t>
  </si>
  <si>
    <t>ORD230243</t>
  </si>
  <si>
    <t>ID6167489485</t>
  </si>
  <si>
    <t>ORD369692</t>
  </si>
  <si>
    <t>ID0589421428</t>
  </si>
  <si>
    <t>ORD197167</t>
  </si>
  <si>
    <t>ID0377544391</t>
  </si>
  <si>
    <t>ORD322420</t>
  </si>
  <si>
    <t>ID0527842694</t>
  </si>
  <si>
    <t>ORD048045</t>
  </si>
  <si>
    <t>ID2318333325</t>
  </si>
  <si>
    <t>ORD234302</t>
  </si>
  <si>
    <t>ID0746909188</t>
  </si>
  <si>
    <t>ORD032894</t>
  </si>
  <si>
    <t>ID1131986163</t>
  </si>
  <si>
    <t>ORD481651</t>
  </si>
  <si>
    <t>ID0126934535</t>
  </si>
  <si>
    <t>ORD074888</t>
  </si>
  <si>
    <t>ID2185303477</t>
  </si>
  <si>
    <t>ORD208080</t>
  </si>
  <si>
    <t>ID2213981052</t>
  </si>
  <si>
    <t>ORD498207</t>
  </si>
  <si>
    <t>ID0710021149</t>
  </si>
  <si>
    <t>ORD134511</t>
  </si>
  <si>
    <t>ID3924911403</t>
  </si>
  <si>
    <t>ORD359121</t>
  </si>
  <si>
    <t>ID0746912589</t>
  </si>
  <si>
    <t>ORD431050</t>
  </si>
  <si>
    <t>ID0349920103</t>
  </si>
  <si>
    <t>ORD283406</t>
  </si>
  <si>
    <t>ID1445498772</t>
  </si>
  <si>
    <t>ORD256605</t>
  </si>
  <si>
    <t>ID0030385486</t>
  </si>
  <si>
    <t>ORD449901</t>
  </si>
  <si>
    <t>ID6097185558</t>
  </si>
  <si>
    <t>ORD173202</t>
  </si>
  <si>
    <t>ID0634784123</t>
  </si>
  <si>
    <t>ORD480424</t>
  </si>
  <si>
    <t>ID6167440966</t>
  </si>
  <si>
    <t>ORD047163</t>
  </si>
  <si>
    <t>ID3144992704</t>
  </si>
  <si>
    <t>ORD022239</t>
  </si>
  <si>
    <t>ID2279153657</t>
  </si>
  <si>
    <t>ORD265921</t>
  </si>
  <si>
    <t>ID0781082267</t>
  </si>
  <si>
    <t>ORD127141</t>
  </si>
  <si>
    <t>ID0777789266</t>
  </si>
  <si>
    <t>ORD067226</t>
  </si>
  <si>
    <t>ID0580161464</t>
  </si>
  <si>
    <t>ORD064801</t>
  </si>
  <si>
    <t>ID0709707024</t>
  </si>
  <si>
    <t>ORD294462</t>
  </si>
  <si>
    <t>ID0571731867</t>
  </si>
  <si>
    <t>ORD345202</t>
  </si>
  <si>
    <t>ID0702451456</t>
  </si>
  <si>
    <t>ORD044505</t>
  </si>
  <si>
    <t>ID0247018750</t>
  </si>
  <si>
    <t>ORD129378</t>
  </si>
  <si>
    <t>ID6167417934</t>
  </si>
  <si>
    <t>ORD130410</t>
  </si>
  <si>
    <t>ID6167417963</t>
  </si>
  <si>
    <t>ORD457767</t>
  </si>
  <si>
    <t>ID1594632456</t>
  </si>
  <si>
    <t>ORD153030</t>
  </si>
  <si>
    <t>ID0310729984</t>
  </si>
  <si>
    <t>ORD234851</t>
  </si>
  <si>
    <t>ID0547586405</t>
  </si>
  <si>
    <t>ORD179719</t>
  </si>
  <si>
    <t>ID3115867881</t>
  </si>
  <si>
    <t>ORD317333</t>
  </si>
  <si>
    <t>ID6167413278</t>
  </si>
  <si>
    <t>ORD190038</t>
  </si>
  <si>
    <t>ID3144850933</t>
  </si>
  <si>
    <t>ORD347364</t>
  </si>
  <si>
    <t>ID0624924254</t>
  </si>
  <si>
    <t>ORD210087</t>
  </si>
  <si>
    <t>ID6212705501</t>
  </si>
  <si>
    <t>ORD178601</t>
  </si>
  <si>
    <t>ID2455223905</t>
  </si>
  <si>
    <t>ORD036597</t>
  </si>
  <si>
    <t>ID1496246606</t>
  </si>
  <si>
    <t>ORD252775</t>
  </si>
  <si>
    <t>ID0572037071</t>
  </si>
  <si>
    <t>ORD316807</t>
  </si>
  <si>
    <t>ID0266737792</t>
  </si>
  <si>
    <t>ORD354341</t>
  </si>
  <si>
    <t>ID0589425753</t>
  </si>
  <si>
    <t>ORD328132</t>
  </si>
  <si>
    <t>ID3036576351</t>
  </si>
  <si>
    <t>ORD215775</t>
  </si>
  <si>
    <t>ID6167441063</t>
  </si>
  <si>
    <t>ORD372277</t>
  </si>
  <si>
    <t>ID0581782794</t>
  </si>
  <si>
    <t>ORD226807</t>
  </si>
  <si>
    <t>ID0250480602</t>
  </si>
  <si>
    <t>ORD498590</t>
  </si>
  <si>
    <t>ID3146808064</t>
  </si>
  <si>
    <t>ORD008127</t>
  </si>
  <si>
    <t>ID1224821946</t>
  </si>
  <si>
    <t>ORD193150</t>
  </si>
  <si>
    <t>ID2314545797</t>
  </si>
  <si>
    <t>ORD352593</t>
  </si>
  <si>
    <t>ID4418535313</t>
  </si>
  <si>
    <t>ORD267241</t>
  </si>
  <si>
    <t>ID0030946633</t>
  </si>
  <si>
    <t>ORD497096</t>
  </si>
  <si>
    <t>ID4735909071</t>
  </si>
  <si>
    <t>ORD152093</t>
  </si>
  <si>
    <t>ID4735836869</t>
  </si>
  <si>
    <t>ORD246022</t>
  </si>
  <si>
    <t>ID0662736521</t>
  </si>
  <si>
    <t>ORD288323</t>
  </si>
  <si>
    <t>ID0589488285</t>
  </si>
  <si>
    <t>ORD234525</t>
  </si>
  <si>
    <t>ID0319159694</t>
  </si>
  <si>
    <t>ORD414145</t>
  </si>
  <si>
    <t>ID0277118918</t>
  </si>
  <si>
    <t>ORD072308</t>
  </si>
  <si>
    <t>ID0247417667</t>
  </si>
  <si>
    <t>ORD053558</t>
  </si>
  <si>
    <t>ID0589397643</t>
  </si>
  <si>
    <t>ORD394848</t>
  </si>
  <si>
    <t>ID0571731474</t>
  </si>
  <si>
    <t>ORD023715</t>
  </si>
  <si>
    <t>ID0767729251</t>
  </si>
  <si>
    <t>ORD061084</t>
  </si>
  <si>
    <t>ID4061053436</t>
  </si>
  <si>
    <t>ORD460883</t>
  </si>
  <si>
    <t>ID0298099723</t>
  </si>
  <si>
    <t>ORD103075</t>
  </si>
  <si>
    <t>ID0287630692</t>
  </si>
  <si>
    <t>ORD420866</t>
  </si>
  <si>
    <t>ID4735836855</t>
  </si>
  <si>
    <t>ORD057521</t>
  </si>
  <si>
    <t>ID2702095684</t>
  </si>
  <si>
    <t>ORD365002</t>
  </si>
  <si>
    <t>ID4740821319</t>
  </si>
  <si>
    <t>ORD428471</t>
  </si>
  <si>
    <t>ID6167289293</t>
  </si>
  <si>
    <t>ORD489366</t>
  </si>
  <si>
    <t>ID0762836286</t>
  </si>
  <si>
    <t>ORD451441</t>
  </si>
  <si>
    <t>ID4245791607</t>
  </si>
  <si>
    <t>ORD474833</t>
  </si>
  <si>
    <t>ID0767752599</t>
  </si>
  <si>
    <t>ORD136412</t>
  </si>
  <si>
    <t>ID4518401167</t>
  </si>
  <si>
    <t>ORD333358</t>
  </si>
  <si>
    <t>ID2191736653</t>
  </si>
  <si>
    <t>ORD401278</t>
  </si>
  <si>
    <t>ID0248129431</t>
  </si>
  <si>
    <t>ORD282679</t>
  </si>
  <si>
    <t>ID6197211187</t>
  </si>
  <si>
    <t>ORD167693</t>
  </si>
  <si>
    <t>ID6197211197</t>
  </si>
  <si>
    <t>ORD412934</t>
  </si>
  <si>
    <t>ID4313862241</t>
  </si>
  <si>
    <t>ORD301674</t>
  </si>
  <si>
    <t>ID3072718448</t>
  </si>
  <si>
    <t>ORD407975</t>
  </si>
  <si>
    <t>ID0317535746</t>
  </si>
  <si>
    <t>ORD202308</t>
  </si>
  <si>
    <t>ID0202767927</t>
  </si>
  <si>
    <t>ORD086903</t>
  </si>
  <si>
    <t>ID5563404259</t>
  </si>
  <si>
    <t>ORD232026</t>
  </si>
  <si>
    <t>ID0495761820</t>
  </si>
  <si>
    <t>ORD266257</t>
  </si>
  <si>
    <t>ID6167344582</t>
  </si>
  <si>
    <t>ORD312372</t>
  </si>
  <si>
    <t>ID0387266445</t>
  </si>
  <si>
    <t>ORD166670</t>
  </si>
  <si>
    <t>ID1985551131</t>
  </si>
  <si>
    <t>ORD225422</t>
  </si>
  <si>
    <t>ID6167191155</t>
  </si>
  <si>
    <t>ORD121712</t>
  </si>
  <si>
    <t>ID2400284486</t>
  </si>
  <si>
    <t>ORD267220</t>
  </si>
  <si>
    <t>ID0030385740</t>
  </si>
  <si>
    <t>ORD058244</t>
  </si>
  <si>
    <t>ID6167254907</t>
  </si>
  <si>
    <t>ORD027780</t>
  </si>
  <si>
    <t>ID0387266447</t>
  </si>
  <si>
    <t>ORD271609</t>
  </si>
  <si>
    <t>ID0122752291</t>
  </si>
  <si>
    <t>ORD113908</t>
  </si>
  <si>
    <t>ID4847645684</t>
  </si>
  <si>
    <t>ORD080574</t>
  </si>
  <si>
    <t>ID4544037561</t>
  </si>
  <si>
    <t>ORD374107</t>
  </si>
  <si>
    <t>ID0635529205</t>
  </si>
  <si>
    <t>ORD042766</t>
  </si>
  <si>
    <t>ID3924911400</t>
  </si>
  <si>
    <t>ORD262488</t>
  </si>
  <si>
    <t>ID2006034703</t>
  </si>
  <si>
    <t>ORD465360</t>
  </si>
  <si>
    <t>ID0591320179</t>
  </si>
  <si>
    <t>ORD286712</t>
  </si>
  <si>
    <t>ID0579501193</t>
  </si>
  <si>
    <t>ORD049427</t>
  </si>
  <si>
    <t>ID6167191700</t>
  </si>
  <si>
    <t>ORD184511</t>
  </si>
  <si>
    <t>ID0591274456</t>
  </si>
  <si>
    <t>ORD077818</t>
  </si>
  <si>
    <t>ID2096325801</t>
  </si>
  <si>
    <t>ORD387574</t>
  </si>
  <si>
    <t>ID1404218659</t>
  </si>
  <si>
    <t>ORD420200</t>
  </si>
  <si>
    <t>ID2189162941</t>
  </si>
  <si>
    <t>ORD450897</t>
  </si>
  <si>
    <t>ID6212685642</t>
  </si>
  <si>
    <t>ORD468473</t>
  </si>
  <si>
    <t>ID6167489462</t>
  </si>
  <si>
    <t>ORD321270</t>
  </si>
  <si>
    <t>ID0711333782</t>
  </si>
  <si>
    <t>ORD267040</t>
  </si>
  <si>
    <t>ID4927643641</t>
  </si>
  <si>
    <t>ORD493666</t>
  </si>
  <si>
    <t>ID0844489306</t>
  </si>
  <si>
    <t>ORD361759</t>
  </si>
  <si>
    <t>ID0767645839</t>
  </si>
  <si>
    <t>ORD215616</t>
  </si>
  <si>
    <t>ID0419481490</t>
  </si>
  <si>
    <t>ORD074913</t>
  </si>
  <si>
    <t>ID0529157848</t>
  </si>
  <si>
    <t>ORD235383</t>
  </si>
  <si>
    <t>ID6245731028</t>
  </si>
  <si>
    <t>ORD024972</t>
  </si>
  <si>
    <t>ID0493873181</t>
  </si>
  <si>
    <t>ORD249031</t>
  </si>
  <si>
    <t>ID4520380523</t>
  </si>
  <si>
    <t>ORD113085</t>
  </si>
  <si>
    <t>ID0245493801</t>
  </si>
  <si>
    <t>ORD073993</t>
  </si>
  <si>
    <t>ID0356215182</t>
  </si>
  <si>
    <t>ORD025094</t>
  </si>
  <si>
    <t>ID0591259275</t>
  </si>
  <si>
    <t>ORD112722</t>
  </si>
  <si>
    <t>ID0777839234</t>
  </si>
  <si>
    <t>ORD409115</t>
  </si>
  <si>
    <t>ID0294625076</t>
  </si>
  <si>
    <t>ORD328848</t>
  </si>
  <si>
    <t>ID0052600161</t>
  </si>
  <si>
    <t>ORD017212</t>
  </si>
  <si>
    <t>ID0581764017</t>
  </si>
  <si>
    <t>ORD128538</t>
  </si>
  <si>
    <t>ID6167417926</t>
  </si>
  <si>
    <t>ORD494241</t>
  </si>
  <si>
    <t>ID2189161536</t>
  </si>
  <si>
    <t>ORD328292</t>
  </si>
  <si>
    <t>ID0153681683</t>
  </si>
  <si>
    <t>ORD151721</t>
  </si>
  <si>
    <t>ID2189273817</t>
  </si>
  <si>
    <t>ORD205507</t>
  </si>
  <si>
    <t>ID2143829886</t>
  </si>
  <si>
    <t>ORD244594</t>
  </si>
  <si>
    <t>ID0361268957</t>
  </si>
  <si>
    <t>ORD094945</t>
  </si>
  <si>
    <t>ID4353884085</t>
  </si>
  <si>
    <t>ORD028604</t>
  </si>
  <si>
    <t>ID0634783948</t>
  </si>
  <si>
    <t>ORD374251</t>
  </si>
  <si>
    <t>ID0702363476</t>
  </si>
  <si>
    <t>ORD289920</t>
  </si>
  <si>
    <t>ID0702374154</t>
  </si>
  <si>
    <t>ORD177535</t>
  </si>
  <si>
    <t>ID0294622374</t>
  </si>
  <si>
    <t>ORD139508</t>
  </si>
  <si>
    <t>ID0207093574</t>
  </si>
  <si>
    <t>ORD004602</t>
  </si>
  <si>
    <t>ID0247010166</t>
  </si>
  <si>
    <t>ORD004361</t>
  </si>
  <si>
    <t>ID0777834973</t>
  </si>
  <si>
    <t>ORD005286</t>
  </si>
  <si>
    <t>ID0780913213</t>
  </si>
  <si>
    <t>ORD499540</t>
  </si>
  <si>
    <t>ID6207022859</t>
  </si>
  <si>
    <t>ORD366469</t>
  </si>
  <si>
    <t>ID0846567658</t>
  </si>
  <si>
    <t>ORD037011</t>
  </si>
  <si>
    <t>ID0847526574</t>
  </si>
  <si>
    <t>ORD383461</t>
  </si>
  <si>
    <t>ID0282825791</t>
  </si>
  <si>
    <t>ORD414419</t>
  </si>
  <si>
    <t>ID0207085738</t>
  </si>
  <si>
    <t>ORD063814</t>
  </si>
  <si>
    <t>ID4453229733</t>
  </si>
  <si>
    <t>ORD131352</t>
  </si>
  <si>
    <t>ID0579970448</t>
  </si>
  <si>
    <t>ORD436478</t>
  </si>
  <si>
    <t>ID0054558290</t>
  </si>
  <si>
    <t>ORD434570</t>
  </si>
  <si>
    <t>ID0579502234</t>
  </si>
  <si>
    <t>ORD310531</t>
  </si>
  <si>
    <t>ID0578077324</t>
  </si>
  <si>
    <t>ORD341013</t>
  </si>
  <si>
    <t>ID0710034749</t>
  </si>
  <si>
    <t>ORD236167</t>
  </si>
  <si>
    <t>ID2868682188</t>
  </si>
  <si>
    <t>ORD315504</t>
  </si>
  <si>
    <t>ID5422000176</t>
  </si>
  <si>
    <t>ORD088885</t>
  </si>
  <si>
    <t>ID3218293535</t>
  </si>
  <si>
    <t>ORD175085</t>
  </si>
  <si>
    <t>ID0278912937</t>
  </si>
  <si>
    <t>ORD004848</t>
  </si>
  <si>
    <t>ID0589421007</t>
  </si>
  <si>
    <t>ORD131664</t>
  </si>
  <si>
    <t>ID1288940365</t>
  </si>
  <si>
    <t>ORD192391</t>
  </si>
  <si>
    <t>ID1463547080</t>
  </si>
  <si>
    <t>ORD339649</t>
  </si>
  <si>
    <t>ID2207661056</t>
  </si>
  <si>
    <t>ORD321832</t>
  </si>
  <si>
    <t>ID0103121662</t>
  </si>
  <si>
    <t>ORD236948</t>
  </si>
  <si>
    <t>ID0411688745</t>
  </si>
  <si>
    <t>ORD253502</t>
  </si>
  <si>
    <t>ID0309346900</t>
  </si>
  <si>
    <t>ORD176936</t>
  </si>
  <si>
    <t>ID1462398911</t>
  </si>
  <si>
    <t>ORD086444</t>
  </si>
  <si>
    <t>ID0774517574</t>
  </si>
  <si>
    <t>ORD413882</t>
  </si>
  <si>
    <t>ID0554206049</t>
  </si>
  <si>
    <t>ORD010057</t>
  </si>
  <si>
    <t>ID2810324704</t>
  </si>
  <si>
    <t>ORD010677</t>
  </si>
  <si>
    <t>ID0248266256</t>
  </si>
  <si>
    <t>ORD021461</t>
  </si>
  <si>
    <t>ID0702363477</t>
  </si>
  <si>
    <t>ORD379975</t>
  </si>
  <si>
    <t>ID0144730304</t>
  </si>
  <si>
    <t>ORD336893</t>
  </si>
  <si>
    <t>ID0363973195</t>
  </si>
  <si>
    <t>ORD089655</t>
  </si>
  <si>
    <t>ID5096779239</t>
  </si>
  <si>
    <t>ORD277358</t>
  </si>
  <si>
    <t>ID4544561907</t>
  </si>
  <si>
    <t>ORD060602</t>
  </si>
  <si>
    <t>ID0319157184</t>
  </si>
  <si>
    <t>ORD106414</t>
  </si>
  <si>
    <t>ID0575392033</t>
  </si>
  <si>
    <t>ORD039111</t>
  </si>
  <si>
    <t>ID0299024277</t>
  </si>
  <si>
    <t>ORD209997</t>
  </si>
  <si>
    <t>ID0767820372</t>
  </si>
  <si>
    <t>ORD346356</t>
  </si>
  <si>
    <t>ID0312718298</t>
  </si>
  <si>
    <t>ORD165713</t>
  </si>
  <si>
    <t>ID2384157684</t>
  </si>
  <si>
    <t>ORD256016</t>
  </si>
  <si>
    <t>ID0052450483</t>
  </si>
  <si>
    <t>ORD028403</t>
  </si>
  <si>
    <t>ID0634783576</t>
  </si>
  <si>
    <t>ORD276878</t>
  </si>
  <si>
    <t>ID1492149374</t>
  </si>
  <si>
    <t>ORD001041</t>
  </si>
  <si>
    <t>ID0245531235</t>
  </si>
  <si>
    <t>ORD496181</t>
  </si>
  <si>
    <t>ID0781107765</t>
  </si>
  <si>
    <t>ORD158346</t>
  </si>
  <si>
    <t>ID0036822341</t>
  </si>
  <si>
    <t>ORD241414</t>
  </si>
  <si>
    <t>ID1463620434</t>
  </si>
  <si>
    <t>ORD404813</t>
  </si>
  <si>
    <t>ID1132014865</t>
  </si>
  <si>
    <t>ORD291961</t>
  </si>
  <si>
    <t>ID0582557918</t>
  </si>
  <si>
    <t>ORD420807</t>
  </si>
  <si>
    <t>ID4520380552</t>
  </si>
  <si>
    <t>ORD190200</t>
  </si>
  <si>
    <t>ID0591432788</t>
  </si>
  <si>
    <t>ORD197918</t>
  </si>
  <si>
    <t>ID0630463867</t>
  </si>
  <si>
    <t>ORD124413</t>
  </si>
  <si>
    <t>ID0846545708</t>
  </si>
  <si>
    <t>ORD334485</t>
  </si>
  <si>
    <t>ID5402876541</t>
  </si>
  <si>
    <t>ORD320916</t>
  </si>
  <si>
    <t>ID0702456085</t>
  </si>
  <si>
    <t>ORD010913</t>
  </si>
  <si>
    <t>ID0361229947</t>
  </si>
  <si>
    <t>ORD051005</t>
  </si>
  <si>
    <t>ID0026051948</t>
  </si>
  <si>
    <t>ORD279402</t>
  </si>
  <si>
    <t>ID0131221774</t>
  </si>
  <si>
    <t>ORD049313</t>
  </si>
  <si>
    <t>ID0387153048</t>
  </si>
  <si>
    <t>ORD463025</t>
  </si>
  <si>
    <t>ID0356448679</t>
  </si>
  <si>
    <t>ORD214700</t>
  </si>
  <si>
    <t>ID1560149473</t>
  </si>
  <si>
    <t>ORD497160</t>
  </si>
  <si>
    <t>ID0571731118</t>
  </si>
  <si>
    <t>ORD170576</t>
  </si>
  <si>
    <t>ID1217532720</t>
  </si>
  <si>
    <t>ORD469852</t>
  </si>
  <si>
    <t>ID3218226982</t>
  </si>
  <si>
    <t>ORD177002</t>
  </si>
  <si>
    <t>ID0472236185</t>
  </si>
  <si>
    <t>ORD058920</t>
  </si>
  <si>
    <t>ID4442505589</t>
  </si>
  <si>
    <t>ORD116440</t>
  </si>
  <si>
    <t>ID0332546017</t>
  </si>
  <si>
    <t>ORD193841</t>
  </si>
  <si>
    <t>ORD021509</t>
  </si>
  <si>
    <t>ID0145261554</t>
  </si>
  <si>
    <t>ORD108392</t>
  </si>
  <si>
    <t>ID2069604238</t>
  </si>
  <si>
    <t>ORD127881</t>
  </si>
  <si>
    <t>ID2776664746</t>
  </si>
  <si>
    <t>ORD347062</t>
  </si>
  <si>
    <t>ID4238873970</t>
  </si>
  <si>
    <t>ORD359903</t>
  </si>
  <si>
    <t>ID0316413850</t>
  </si>
  <si>
    <t>ORD250175</t>
  </si>
  <si>
    <t>ID2347007247</t>
  </si>
  <si>
    <t>ORD113670</t>
  </si>
  <si>
    <t>ID6024429121</t>
  </si>
  <si>
    <t>ORD103709</t>
  </si>
  <si>
    <t>ID0767592589</t>
  </si>
  <si>
    <t>ORD343782</t>
  </si>
  <si>
    <t>ID0417273054</t>
  </si>
  <si>
    <t>ORD455246</t>
  </si>
  <si>
    <t>ID4326586172</t>
  </si>
  <si>
    <t>ORD307978</t>
  </si>
  <si>
    <t>ID3143370318</t>
  </si>
  <si>
    <t>ORD026756</t>
  </si>
  <si>
    <t>ID0252588997</t>
  </si>
  <si>
    <t>ORD021786</t>
  </si>
  <si>
    <t>ID0298046598</t>
  </si>
  <si>
    <t>ORD407964</t>
  </si>
  <si>
    <t>ID6221450542</t>
  </si>
  <si>
    <t>ORD381638</t>
  </si>
  <si>
    <t>ID0767737648</t>
  </si>
  <si>
    <t>ORD497037</t>
  </si>
  <si>
    <t>ID3161948917</t>
  </si>
  <si>
    <t>ORD184906</t>
  </si>
  <si>
    <t>ID4326586187</t>
  </si>
  <si>
    <t>ORD453377</t>
  </si>
  <si>
    <t>ID2180785618</t>
  </si>
  <si>
    <t>ORD068296</t>
  </si>
  <si>
    <t>ID0252588294</t>
  </si>
  <si>
    <t>ORD463964</t>
  </si>
  <si>
    <t>ID4245791604</t>
  </si>
  <si>
    <t>ORD352051</t>
  </si>
  <si>
    <t>ID0387152924</t>
  </si>
  <si>
    <t>ORD285119</t>
  </si>
  <si>
    <t>ID0052600120</t>
  </si>
  <si>
    <t>ORD259052</t>
  </si>
  <si>
    <t>ORD401780</t>
  </si>
  <si>
    <t>ID0575434361</t>
  </si>
  <si>
    <t>ORD296636</t>
  </si>
  <si>
    <t>ID1463547033</t>
  </si>
  <si>
    <t>ORD349135</t>
  </si>
  <si>
    <t>ID2948774549</t>
  </si>
  <si>
    <t>ORD130025</t>
  </si>
  <si>
    <t>ID1217532913</t>
  </si>
  <si>
    <t>ORD104003</t>
  </si>
  <si>
    <t>ID0493873191</t>
  </si>
  <si>
    <t>ORD053567</t>
  </si>
  <si>
    <t>ID1217532917</t>
  </si>
  <si>
    <t>ORD464981</t>
  </si>
  <si>
    <t>ID0312718905</t>
  </si>
  <si>
    <t>ORD191503</t>
  </si>
  <si>
    <t>ID0777835311</t>
  </si>
  <si>
    <t>ORD290674</t>
  </si>
  <si>
    <t>ID4283908163</t>
  </si>
  <si>
    <t>ORD341686</t>
  </si>
  <si>
    <t>ID3146808091</t>
  </si>
  <si>
    <t>ORD481148</t>
  </si>
  <si>
    <t>ID4735836868</t>
  </si>
  <si>
    <t>ORD393183</t>
  </si>
  <si>
    <t>ID0598401577</t>
  </si>
  <si>
    <t>ORD127153</t>
  </si>
  <si>
    <t>ID0773059241</t>
  </si>
  <si>
    <t>ORD139543</t>
  </si>
  <si>
    <t>ID0283334330</t>
  </si>
  <si>
    <t>ORD068250</t>
  </si>
  <si>
    <t>ID0060096961</t>
  </si>
  <si>
    <t>ORD421797</t>
  </si>
  <si>
    <t>ID3218226983</t>
  </si>
  <si>
    <t>ORD109384</t>
  </si>
  <si>
    <t>ID1132069617</t>
  </si>
  <si>
    <t>ORD118137</t>
  </si>
  <si>
    <t>ID0591408731</t>
  </si>
  <si>
    <t>ORD428011</t>
  </si>
  <si>
    <t>ID0361269278</t>
  </si>
  <si>
    <t>ORD408988</t>
  </si>
  <si>
    <t>ID0103299651</t>
  </si>
  <si>
    <t>ORD241112</t>
  </si>
  <si>
    <t>ORD176554</t>
  </si>
  <si>
    <t>ID6167413266</t>
  </si>
  <si>
    <t>ORD051673</t>
  </si>
  <si>
    <t>ID1686719039</t>
  </si>
  <si>
    <t>ORD024391</t>
  </si>
  <si>
    <t>ID2768639318</t>
  </si>
  <si>
    <t>ORD077302</t>
  </si>
  <si>
    <t>ID1594632498</t>
  </si>
  <si>
    <t>ORD015029</t>
  </si>
  <si>
    <t>ID6167266614</t>
  </si>
  <si>
    <t>ORD360393</t>
  </si>
  <si>
    <t>ID0304536850</t>
  </si>
  <si>
    <t>ORD363515</t>
  </si>
  <si>
    <t>ID2187983888</t>
  </si>
  <si>
    <t>ORD129529</t>
  </si>
  <si>
    <t>ID3862394072</t>
  </si>
  <si>
    <t>ORD110606</t>
  </si>
  <si>
    <t>ID0572005110</t>
  </si>
  <si>
    <t>ORD242864</t>
  </si>
  <si>
    <t>ID3281126642</t>
  </si>
  <si>
    <t>ORD229308</t>
  </si>
  <si>
    <t>ID0616938658</t>
  </si>
  <si>
    <t>ORD424374</t>
  </si>
  <si>
    <t>ID4787373516</t>
  </si>
  <si>
    <t>ORD056609</t>
  </si>
  <si>
    <t>ID1463547040</t>
  </si>
  <si>
    <t>ORD420507</t>
  </si>
  <si>
    <t>ID0777791299</t>
  </si>
  <si>
    <t>ORD442067</t>
  </si>
  <si>
    <t>ID2383211221</t>
  </si>
  <si>
    <t>ORD165627</t>
  </si>
  <si>
    <t>ID2020832914</t>
  </si>
  <si>
    <t>ORD057456</t>
  </si>
  <si>
    <t>ID1404234339</t>
  </si>
  <si>
    <t>ORD244567</t>
  </si>
  <si>
    <t>ID0846546861</t>
  </si>
  <si>
    <t>ORD161245</t>
  </si>
  <si>
    <t>ID0370751687</t>
  </si>
  <si>
    <t>ORD332011</t>
  </si>
  <si>
    <t>ORD190264</t>
  </si>
  <si>
    <t>ID0581715652</t>
  </si>
  <si>
    <t>ORD490527</t>
  </si>
  <si>
    <t>ID1492169258</t>
  </si>
  <si>
    <t>ORD381949</t>
  </si>
  <si>
    <t>ID4520380533</t>
  </si>
  <si>
    <t>ORD216875</t>
  </si>
  <si>
    <t>ID0052510917</t>
  </si>
  <si>
    <t>ORD177106</t>
  </si>
  <si>
    <t>ID0054552169</t>
  </si>
  <si>
    <t>ORD092009</t>
  </si>
  <si>
    <t>ID0501027460</t>
  </si>
  <si>
    <t>ORD239747</t>
  </si>
  <si>
    <t>ID0248746737</t>
  </si>
  <si>
    <t>ORD333990</t>
  </si>
  <si>
    <t>ID0710001161</t>
  </si>
  <si>
    <t>ORD016609</t>
  </si>
  <si>
    <t>ID0202736642</t>
  </si>
  <si>
    <t>ORD122150</t>
  </si>
  <si>
    <t>ID0248746924</t>
  </si>
  <si>
    <t>ORD492107</t>
  </si>
  <si>
    <t>ID4740822049</t>
  </si>
  <si>
    <t>ORD389541</t>
  </si>
  <si>
    <t>ID0767584716</t>
  </si>
  <si>
    <t>ORD265905</t>
  </si>
  <si>
    <t>ID6167344549</t>
  </si>
  <si>
    <t>ORD371242</t>
  </si>
  <si>
    <t>ID0577518129</t>
  </si>
  <si>
    <t>ORD065457</t>
  </si>
  <si>
    <t>ID0634783947</t>
  </si>
  <si>
    <t>ORD270933</t>
  </si>
  <si>
    <t>ID0358731034</t>
  </si>
  <si>
    <t>ORD080001</t>
  </si>
  <si>
    <t>ID0361770719</t>
  </si>
  <si>
    <t>ORD083728</t>
  </si>
  <si>
    <t>ID0746908734</t>
  </si>
  <si>
    <t>ORD262556</t>
  </si>
  <si>
    <t>ID4162427930</t>
  </si>
  <si>
    <t>ORD469769</t>
  </si>
  <si>
    <t>ID0227316137</t>
  </si>
  <si>
    <t>ORD014742</t>
  </si>
  <si>
    <t>ID0844475924</t>
  </si>
  <si>
    <t>ORD200084</t>
  </si>
  <si>
    <t>ID1479930106</t>
  </si>
  <si>
    <t>ORD243905</t>
  </si>
  <si>
    <t>ID4976805932</t>
  </si>
  <si>
    <t>ORD089966</t>
  </si>
  <si>
    <t>ID0243097196</t>
  </si>
  <si>
    <t>ORD077215</t>
  </si>
  <si>
    <t>ID1463620794</t>
  </si>
  <si>
    <t>ORD057375</t>
  </si>
  <si>
    <t>ORD139834</t>
  </si>
  <si>
    <t>ID4315295100</t>
  </si>
  <si>
    <t>ORD199125</t>
  </si>
  <si>
    <t>ID1140277347</t>
  </si>
  <si>
    <t>ORD280009</t>
  </si>
  <si>
    <t>ID6167441003</t>
  </si>
  <si>
    <t>ORD039664</t>
  </si>
  <si>
    <t>ID0443297188</t>
  </si>
  <si>
    <t>ORD144770</t>
  </si>
  <si>
    <t>ID0304168536</t>
  </si>
  <si>
    <t>ORD314525</t>
  </si>
  <si>
    <t>ID0361770819</t>
  </si>
  <si>
    <t>ORD355763</t>
  </si>
  <si>
    <t>ID4544035096</t>
  </si>
  <si>
    <t>ORD206559</t>
  </si>
  <si>
    <t>ID3085926091</t>
  </si>
  <si>
    <t>ORD191543</t>
  </si>
  <si>
    <t>ID0207093578</t>
  </si>
  <si>
    <t>ORD204657</t>
  </si>
  <si>
    <t>ID1466671804</t>
  </si>
  <si>
    <t>ORD032042</t>
  </si>
  <si>
    <t>ID1725216340</t>
  </si>
  <si>
    <t>ORD197091</t>
  </si>
  <si>
    <t>ID0702352314</t>
  </si>
  <si>
    <t>ORD495312</t>
  </si>
  <si>
    <t>ID0560991981</t>
  </si>
  <si>
    <t>ORD353238</t>
  </si>
  <si>
    <t>ID0214092261</t>
  </si>
  <si>
    <t>ORD355844</t>
  </si>
  <si>
    <t>ORD150293</t>
  </si>
  <si>
    <t>ID0681285245</t>
  </si>
  <si>
    <t>ORD027740</t>
  </si>
  <si>
    <t>ID4120677337</t>
  </si>
  <si>
    <t>ORD163916</t>
  </si>
  <si>
    <t>ID0030945778</t>
  </si>
  <si>
    <t>ORD317652</t>
  </si>
  <si>
    <t>ID0245533066</t>
  </si>
  <si>
    <t>ORD198111</t>
  </si>
  <si>
    <t>ID3293340280</t>
  </si>
  <si>
    <t>ORD491234</t>
  </si>
  <si>
    <t>ID0287629447</t>
  </si>
  <si>
    <t>ORD431829</t>
  </si>
  <si>
    <t>ID0247417828</t>
  </si>
  <si>
    <t>ORD386882</t>
  </si>
  <si>
    <t>ID5563404251</t>
  </si>
  <si>
    <t>ORD376088</t>
  </si>
  <si>
    <t>ID0575385079</t>
  </si>
  <si>
    <t>ORD184184</t>
  </si>
  <si>
    <t>ID2975268835</t>
  </si>
  <si>
    <t>ORD442197</t>
  </si>
  <si>
    <t>ID0588197264</t>
  </si>
  <si>
    <t>ORD015196</t>
  </si>
  <si>
    <t>ID6167231018</t>
  </si>
  <si>
    <t>ORD326400</t>
  </si>
  <si>
    <t>ID4516157159</t>
  </si>
  <si>
    <t>ORD249776</t>
  </si>
  <si>
    <t>ID0702351342</t>
  </si>
  <si>
    <t>ORD273727</t>
  </si>
  <si>
    <t>ID0581750598</t>
  </si>
  <si>
    <t>ORD382455</t>
  </si>
  <si>
    <t>ID2222040558</t>
  </si>
  <si>
    <t>ORD007904</t>
  </si>
  <si>
    <t>ID3098154914</t>
  </si>
  <si>
    <t>ORD436067</t>
  </si>
  <si>
    <t>ID4294210520</t>
  </si>
  <si>
    <t>ORD115766</t>
  </si>
  <si>
    <t>ID0319157116</t>
  </si>
  <si>
    <t>ORD153759</t>
  </si>
  <si>
    <t>ID3146808087</t>
  </si>
  <si>
    <t>ORD124286</t>
  </si>
  <si>
    <t>ID0778943161</t>
  </si>
  <si>
    <t>ORD337311</t>
  </si>
  <si>
    <t>ID3215192015</t>
  </si>
  <si>
    <t>ORD071953</t>
  </si>
  <si>
    <t>ID0844501069</t>
  </si>
  <si>
    <t>ORD330289</t>
  </si>
  <si>
    <t>ID5290706362</t>
  </si>
  <si>
    <t>ORD387878</t>
  </si>
  <si>
    <t>ID0440051881</t>
  </si>
  <si>
    <t>ORD144784</t>
  </si>
  <si>
    <t>ID0333901582</t>
  </si>
  <si>
    <t>ORD330641</t>
  </si>
  <si>
    <t>ID3516648756</t>
  </si>
  <si>
    <t>ORD327155</t>
  </si>
  <si>
    <t>ID1463656466</t>
  </si>
  <si>
    <t>ORD020395</t>
  </si>
  <si>
    <t>ID4313862248</t>
  </si>
  <si>
    <t>ORD454128</t>
  </si>
  <si>
    <t>ID3924911399</t>
  </si>
  <si>
    <t>ORD453668</t>
  </si>
  <si>
    <t>ID0664378466</t>
  </si>
  <si>
    <t>ORD175025</t>
  </si>
  <si>
    <t>ID1132069624</t>
  </si>
  <si>
    <t>ORD449772</t>
  </si>
  <si>
    <t>ID3106294929</t>
  </si>
  <si>
    <t>ORD374508</t>
  </si>
  <si>
    <t>ID3420939994</t>
  </si>
  <si>
    <t>ORD109308</t>
  </si>
  <si>
    <t>ID6167417972</t>
  </si>
  <si>
    <t>ORD409233</t>
  </si>
  <si>
    <t>ID5299390820</t>
  </si>
  <si>
    <t>ORD078283</t>
  </si>
  <si>
    <t>ID0591258325</t>
  </si>
  <si>
    <t>ORD043450</t>
  </si>
  <si>
    <t>ID0310957682</t>
  </si>
  <si>
    <t>ORD194707</t>
  </si>
  <si>
    <t>ID0723965013</t>
  </si>
  <si>
    <t>ORD050839</t>
  </si>
  <si>
    <t>ID4313862247</t>
  </si>
  <si>
    <t>ORD361982</t>
  </si>
  <si>
    <t>ID0441996111</t>
  </si>
  <si>
    <t>ORD033121</t>
  </si>
  <si>
    <t>ID0777768981</t>
  </si>
  <si>
    <t>ORD030513</t>
  </si>
  <si>
    <t>ID4633638458</t>
  </si>
  <si>
    <t>ORD213192</t>
  </si>
  <si>
    <t>ID2325395496</t>
  </si>
  <si>
    <t>ORD360739</t>
  </si>
  <si>
    <t>ID2288769502</t>
  </si>
  <si>
    <t>ORD234473</t>
  </si>
  <si>
    <t>ID0127674021</t>
  </si>
  <si>
    <t>ORD118905</t>
  </si>
  <si>
    <t>ID0711783633</t>
  </si>
  <si>
    <t>ORD161955</t>
  </si>
  <si>
    <t>ID0036825302</t>
  </si>
  <si>
    <t>ORD182549</t>
  </si>
  <si>
    <t>ID2841675041</t>
  </si>
  <si>
    <t>ORD435271</t>
  </si>
  <si>
    <t>ID3390561255</t>
  </si>
  <si>
    <t>ORD082002</t>
  </si>
  <si>
    <t>ID0246439398</t>
  </si>
  <si>
    <t>ORD034351</t>
  </si>
  <si>
    <t>ID6167231003</t>
  </si>
  <si>
    <t>ORD379700</t>
  </si>
  <si>
    <t>ID2190564628</t>
  </si>
  <si>
    <t>ORD475510</t>
  </si>
  <si>
    <t>ID0247417082</t>
  </si>
  <si>
    <t>ORD086060</t>
  </si>
  <si>
    <t>ID0130015098</t>
  </si>
  <si>
    <t>ORD079320</t>
  </si>
  <si>
    <t>ID2707985442</t>
  </si>
  <si>
    <t>ORD026546</t>
  </si>
  <si>
    <t>ID0060088412</t>
  </si>
  <si>
    <t>ORD085447</t>
  </si>
  <si>
    <t>ID5257193650</t>
  </si>
  <si>
    <t>total sales after dis</t>
  </si>
  <si>
    <t>total order total</t>
  </si>
  <si>
    <t>rand discount</t>
  </si>
  <si>
    <t>Year</t>
  </si>
  <si>
    <t>Month</t>
  </si>
  <si>
    <t>Month Name</t>
  </si>
  <si>
    <t>Quarter</t>
  </si>
  <si>
    <t>January</t>
  </si>
  <si>
    <t>Q1</t>
  </si>
  <si>
    <t>February</t>
  </si>
  <si>
    <t>March</t>
  </si>
  <si>
    <t>April</t>
  </si>
  <si>
    <t>Q2</t>
  </si>
  <si>
    <t>May</t>
  </si>
  <si>
    <t>June</t>
  </si>
  <si>
    <t>July</t>
  </si>
  <si>
    <t>Q3</t>
  </si>
  <si>
    <t>August</t>
  </si>
  <si>
    <t>September</t>
  </si>
  <si>
    <t>October</t>
  </si>
  <si>
    <t>Q4</t>
  </si>
  <si>
    <t>November</t>
  </si>
  <si>
    <t>December</t>
  </si>
  <si>
    <t>warehouse id</t>
  </si>
  <si>
    <t>Warehouse name</t>
  </si>
  <si>
    <t>1</t>
  </si>
  <si>
    <t>2</t>
  </si>
  <si>
    <t>3</t>
  </si>
  <si>
    <t xml:space="preserve"> order total2</t>
  </si>
  <si>
    <t>REVENUE</t>
  </si>
  <si>
    <t>TOTAL DISCOUNT</t>
  </si>
  <si>
    <t>Sum of rand discount</t>
  </si>
  <si>
    <t>DISCOUNT %</t>
  </si>
  <si>
    <t>discount %</t>
  </si>
  <si>
    <t>TRANSACTIONS</t>
  </si>
  <si>
    <t>Count of order_id</t>
  </si>
  <si>
    <t xml:space="preserve">MONTH TRX </t>
  </si>
  <si>
    <t>TOTAL DEL CHARGES</t>
  </si>
  <si>
    <t xml:space="preserve"> delivery_charges</t>
  </si>
  <si>
    <t xml:space="preserve"> order_price</t>
  </si>
  <si>
    <t xml:space="preserve"> total order total</t>
  </si>
  <si>
    <t>Count of is_expedited_delivery</t>
  </si>
  <si>
    <t>FALSE</t>
  </si>
  <si>
    <t>TRUE</t>
  </si>
  <si>
    <t>Values</t>
  </si>
  <si>
    <t>Count of is_expedited_delivery2</t>
  </si>
  <si>
    <t>Total Count of is_expedited_delivery</t>
  </si>
  <si>
    <t>Total Count of is_expedited_delivery2</t>
  </si>
  <si>
    <t>Grand Total</t>
  </si>
  <si>
    <t>TOTAL DELIVERY KM'S</t>
  </si>
  <si>
    <t>Sum of distance_to_nearest_warehouse</t>
  </si>
  <si>
    <t>DELIVERY COST PER KM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</si>
</sst>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quot;R&quot;#,##0"/>
    <numFmt numFmtId="165" formatCode="&quot;R&quot;#,##0.00"/>
    <numFmt numFmtId="166" formatCode="_-* #,##0_-;\-* #,##0_-;_-* &quot;-&quot;??_-;_-@_-"/>
    <numFmt numFmtId="167" formatCode="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Light"/>
      <family val="2"/>
      <scheme val="maj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72227"/>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
    <xf numFmtId="0" fontId="0" fillId="0" borderId="0" xfId="0"/>
    <xf numFmtId="0" fontId="0" fillId="0" borderId="0" xfId="0" applyNumberFormat="1"/>
    <xf numFmtId="14" fontId="0" fillId="0" borderId="0" xfId="0" applyNumberFormat="1"/>
    <xf numFmtId="0" fontId="0" fillId="0" borderId="0" xfId="0" pivotButton="1"/>
    <xf numFmtId="0" fontId="0" fillId="33" borderId="0" xfId="0" applyFill="1"/>
    <xf numFmtId="164" fontId="0" fillId="0" borderId="0" xfId="0" applyNumberFormat="1"/>
    <xf numFmtId="0" fontId="18" fillId="33" borderId="0" xfId="0" applyFont="1" applyFill="1"/>
    <xf numFmtId="165" fontId="0" fillId="0" borderId="0" xfId="0" applyNumberFormat="1"/>
    <xf numFmtId="9" fontId="0" fillId="0" borderId="0" xfId="42" applyFont="1"/>
    <xf numFmtId="1" fontId="0" fillId="0" borderId="0" xfId="0" applyNumberFormat="1"/>
    <xf numFmtId="166" fontId="0" fillId="0" borderId="0" xfId="0" applyNumberFormat="1"/>
    <xf numFmtId="9" fontId="0" fillId="0" borderId="0" xfId="0" applyNumberFormat="1"/>
    <xf numFmtId="167" fontId="0" fillId="0" borderId="0" xfId="0" applyNumberFormat="1"/>
    <xf numFmtId="2" fontId="0" fillId="0" borderId="0" xfId="0" applyNumberFormat="1"/>
    <xf numFmtId="2" fontId="0" fillId="0" borderId="0" xfId="43" applyNumberFormat="1"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35">
    <dxf>
      <numFmt numFmtId="166" formatCode="_-* #,##0_-;\-* #,##0_-;_-* &quot;-&quot;??_-;_-@_-"/>
    </dxf>
    <dxf>
      <numFmt numFmtId="165" formatCode="&quot;R&quot;#,##0.00"/>
    </dxf>
    <dxf>
      <numFmt numFmtId="1" formatCode="0"/>
    </dxf>
    <dxf>
      <numFmt numFmtId="165" formatCode="&quot;R&quot;#,##0.00"/>
    </dxf>
    <dxf>
      <numFmt numFmtId="0" formatCode="General"/>
    </dxf>
    <dxf>
      <numFmt numFmtId="14" formatCode="0.00%"/>
    </dxf>
    <dxf>
      <numFmt numFmtId="1" formatCode="0"/>
    </dxf>
    <dxf>
      <numFmt numFmtId="13" formatCode="0%"/>
    </dxf>
    <dxf>
      <numFmt numFmtId="13" formatCode="0%"/>
    </dxf>
    <dxf>
      <numFmt numFmtId="167" formatCode="0.0%"/>
    </dxf>
    <dxf>
      <numFmt numFmtId="165" formatCode="&quot;R&quot;#,##0.00"/>
    </dxf>
    <dxf>
      <numFmt numFmtId="165" formatCode="&quot;R&quot;#,##0.00"/>
    </dxf>
    <dxf>
      <numFmt numFmtId="164" formatCode="&quot;R&quot;#,##0"/>
    </dxf>
    <dxf>
      <numFmt numFmtId="164" formatCode="&quot;R&quot;#,##0"/>
    </dxf>
    <dxf>
      <numFmt numFmtId="165" formatCode="&quot;R&quot;#,##0.00"/>
    </dxf>
    <dxf>
      <numFmt numFmtId="165" formatCode="&quot;R&quot;#,##0.00"/>
    </dxf>
    <dxf>
      <numFmt numFmtId="1" formatCode="0"/>
    </dxf>
    <dxf>
      <numFmt numFmtId="166" formatCode="_-* #,##0_-;\-* #,##0_-;_-* &quot;-&quot;??_-;_-@_-"/>
    </dxf>
    <dxf>
      <numFmt numFmtId="165" formatCode="&quot;R&quot;#,##0.00"/>
    </dxf>
    <dxf>
      <numFmt numFmtId="1" formatCode="0"/>
    </dxf>
    <dxf>
      <numFmt numFmtId="165" formatCode="&quot;R&quot;#,##0.00"/>
    </dxf>
    <dxf>
      <numFmt numFmtId="0" formatCode="General"/>
    </dxf>
    <dxf>
      <numFmt numFmtId="14" formatCode="0.00%"/>
    </dxf>
    <dxf>
      <numFmt numFmtId="1" formatCode="0"/>
    </dxf>
    <dxf>
      <numFmt numFmtId="13" formatCode="0%"/>
    </dxf>
    <dxf>
      <numFmt numFmtId="13" formatCode="0%"/>
    </dxf>
    <dxf>
      <numFmt numFmtId="167" formatCode="0.0%"/>
    </dxf>
    <dxf>
      <numFmt numFmtId="165" formatCode="&quot;R&quot;#,##0.00"/>
    </dxf>
    <dxf>
      <numFmt numFmtId="165" formatCode="&quot;R&quot;#,##0.00"/>
    </dxf>
    <dxf>
      <numFmt numFmtId="164" formatCode="&quot;R&quot;#,##0"/>
    </dxf>
    <dxf>
      <numFmt numFmtId="164" formatCode="&quot;R&quot;#,##0"/>
    </dxf>
    <dxf>
      <numFmt numFmtId="165" formatCode="&quot;R&quot;#,##0.00"/>
    </dxf>
    <dxf>
      <numFmt numFmtId="165" formatCode="&quot;R&quot;#,##0.00"/>
    </dxf>
    <dxf>
      <numFmt numFmtId="1" formatCode="0"/>
    </dxf>
    <dxf>
      <numFmt numFmtId="166" formatCode="_-* #,##0_-;\-* #,##0_-;_-* &quot;-&quot;??_-;_-@_-"/>
    </dxf>
    <dxf>
      <numFmt numFmtId="165" formatCode="&quot;R&quot;#,##0.00"/>
    </dxf>
    <dxf>
      <numFmt numFmtId="1" formatCode="0"/>
    </dxf>
    <dxf>
      <numFmt numFmtId="165" formatCode="&quot;R&quot;#,##0.00"/>
    </dxf>
    <dxf>
      <numFmt numFmtId="0" formatCode="General"/>
    </dxf>
    <dxf>
      <numFmt numFmtId="14" formatCode="0.00%"/>
    </dxf>
    <dxf>
      <numFmt numFmtId="1" formatCode="0"/>
    </dxf>
    <dxf>
      <numFmt numFmtId="13" formatCode="0%"/>
    </dxf>
    <dxf>
      <numFmt numFmtId="13" formatCode="0%"/>
    </dxf>
    <dxf>
      <numFmt numFmtId="167" formatCode="0.0%"/>
    </dxf>
    <dxf>
      <numFmt numFmtId="165" formatCode="&quot;R&quot;#,##0.00"/>
    </dxf>
    <dxf>
      <numFmt numFmtId="165" formatCode="&quot;R&quot;#,##0.00"/>
    </dxf>
    <dxf>
      <numFmt numFmtId="164" formatCode="&quot;R&quot;#,##0"/>
    </dxf>
    <dxf>
      <numFmt numFmtId="164" formatCode="&quot;R&quot;#,##0"/>
    </dxf>
    <dxf>
      <numFmt numFmtId="165" formatCode="&quot;R&quot;#,##0.00"/>
    </dxf>
    <dxf>
      <numFmt numFmtId="165" formatCode="&quot;R&quot;#,##0.00"/>
    </dxf>
    <dxf>
      <numFmt numFmtId="1" formatCode="0"/>
    </dxf>
    <dxf>
      <numFmt numFmtId="166" formatCode="_-* #,##0_-;\-* #,##0_-;_-* &quot;-&quot;??_-;_-@_-"/>
    </dxf>
    <dxf>
      <numFmt numFmtId="165" formatCode="&quot;R&quot;#,##0.00"/>
    </dxf>
    <dxf>
      <numFmt numFmtId="1" formatCode="0"/>
    </dxf>
    <dxf>
      <numFmt numFmtId="165" formatCode="&quot;R&quot;#,##0.00"/>
    </dxf>
    <dxf>
      <numFmt numFmtId="0" formatCode="General"/>
    </dxf>
    <dxf>
      <numFmt numFmtId="14" formatCode="0.00%"/>
    </dxf>
    <dxf>
      <numFmt numFmtId="1" formatCode="0"/>
    </dxf>
    <dxf>
      <numFmt numFmtId="13" formatCode="0%"/>
    </dxf>
    <dxf>
      <numFmt numFmtId="13" formatCode="0%"/>
    </dxf>
    <dxf>
      <numFmt numFmtId="167" formatCode="0.0%"/>
    </dxf>
    <dxf>
      <numFmt numFmtId="165" formatCode="&quot;R&quot;#,##0.00"/>
    </dxf>
    <dxf>
      <numFmt numFmtId="165" formatCode="&quot;R&quot;#,##0.00"/>
    </dxf>
    <dxf>
      <numFmt numFmtId="164" formatCode="&quot;R&quot;#,##0"/>
    </dxf>
    <dxf>
      <numFmt numFmtId="164" formatCode="&quot;R&quot;#,##0"/>
    </dxf>
    <dxf>
      <numFmt numFmtId="165" formatCode="&quot;R&quot;#,##0.00"/>
    </dxf>
    <dxf>
      <numFmt numFmtId="165" formatCode="&quot;R&quot;#,##0.00"/>
    </dxf>
    <dxf>
      <numFmt numFmtId="1" formatCode="0"/>
    </dxf>
    <dxf>
      <numFmt numFmtId="166" formatCode="_-* #,##0_-;\-* #,##0_-;_-* &quot;-&quot;??_-;_-@_-"/>
    </dxf>
    <dxf>
      <numFmt numFmtId="165" formatCode="&quot;R&quot;#,##0.00"/>
    </dxf>
    <dxf>
      <numFmt numFmtId="1" formatCode="0"/>
    </dxf>
    <dxf>
      <numFmt numFmtId="165" formatCode="&quot;R&quot;#,##0.00"/>
    </dxf>
    <dxf>
      <numFmt numFmtId="0" formatCode="General"/>
    </dxf>
    <dxf>
      <numFmt numFmtId="14" formatCode="0.00%"/>
    </dxf>
    <dxf>
      <numFmt numFmtId="1" formatCode="0"/>
    </dxf>
    <dxf>
      <numFmt numFmtId="13" formatCode="0%"/>
    </dxf>
    <dxf>
      <numFmt numFmtId="13" formatCode="0%"/>
    </dxf>
    <dxf>
      <numFmt numFmtId="167" formatCode="0.0%"/>
    </dxf>
    <dxf>
      <numFmt numFmtId="165" formatCode="&quot;R&quot;#,##0.00"/>
    </dxf>
    <dxf>
      <numFmt numFmtId="165" formatCode="&quot;R&quot;#,##0.00"/>
    </dxf>
    <dxf>
      <numFmt numFmtId="164" formatCode="&quot;R&quot;#,##0"/>
    </dxf>
    <dxf>
      <numFmt numFmtId="164" formatCode="&quot;R&quot;#,##0"/>
    </dxf>
    <dxf>
      <numFmt numFmtId="165" formatCode="&quot;R&quot;#,##0.00"/>
    </dxf>
    <dxf>
      <numFmt numFmtId="165" formatCode="&quot;R&quot;#,##0.00"/>
    </dxf>
    <dxf>
      <numFmt numFmtId="1" formatCode="0"/>
    </dxf>
    <dxf>
      <numFmt numFmtId="166" formatCode="_-* #,##0_-;\-* #,##0_-;_-* &quot;-&quot;??_-;_-@_-"/>
    </dxf>
    <dxf>
      <numFmt numFmtId="165" formatCode="&quot;R&quot;#,##0.00"/>
    </dxf>
    <dxf>
      <numFmt numFmtId="1" formatCode="0"/>
    </dxf>
    <dxf>
      <numFmt numFmtId="165" formatCode="&quot;R&quot;#,##0.00"/>
    </dxf>
    <dxf>
      <numFmt numFmtId="0" formatCode="General"/>
    </dxf>
    <dxf>
      <numFmt numFmtId="14" formatCode="0.00%"/>
    </dxf>
    <dxf>
      <numFmt numFmtId="1" formatCode="0"/>
    </dxf>
    <dxf>
      <numFmt numFmtId="13" formatCode="0%"/>
    </dxf>
    <dxf>
      <numFmt numFmtId="13" formatCode="0%"/>
    </dxf>
    <dxf>
      <numFmt numFmtId="167" formatCode="0.0%"/>
    </dxf>
    <dxf>
      <numFmt numFmtId="165" formatCode="&quot;R&quot;#,##0.00"/>
    </dxf>
    <dxf>
      <numFmt numFmtId="165" formatCode="&quot;R&quot;#,##0.00"/>
    </dxf>
    <dxf>
      <numFmt numFmtId="164" formatCode="&quot;R&quot;#,##0"/>
    </dxf>
    <dxf>
      <numFmt numFmtId="164" formatCode="&quot;R&quot;#,##0"/>
    </dxf>
    <dxf>
      <numFmt numFmtId="165" formatCode="&quot;R&quot;#,##0.00"/>
    </dxf>
    <dxf>
      <numFmt numFmtId="165" formatCode="&quot;R&quot;#,##0.00"/>
    </dxf>
    <dxf>
      <numFmt numFmtId="1" formatCode="0"/>
    </dxf>
    <dxf>
      <numFmt numFmtId="0" formatCode="General"/>
    </dxf>
    <dxf>
      <numFmt numFmtId="0" formatCode="General"/>
    </dxf>
    <dxf>
      <numFmt numFmtId="0" formatCode="General"/>
    </dxf>
    <dxf>
      <numFmt numFmtId="0" formatCode="General"/>
    </dxf>
    <dxf>
      <numFmt numFmtId="19" formatCode="yyyy/mm/dd"/>
    </dxf>
    <dxf>
      <numFmt numFmtId="2" formatCode="0.00"/>
    </dxf>
    <dxf>
      <numFmt numFmtId="13" formatCode="0%"/>
    </dxf>
    <dxf>
      <numFmt numFmtId="0" formatCode="General"/>
    </dxf>
    <dxf>
      <numFmt numFmtId="0" formatCode="General"/>
    </dxf>
    <dxf>
      <numFmt numFmtId="19" formatCode="yyyy/mm/dd"/>
    </dxf>
    <dxf>
      <numFmt numFmtId="166" formatCode="_-* #,##0_-;\-* #,##0_-;_-* &quot;-&quot;??_-;_-@_-"/>
    </dxf>
    <dxf>
      <numFmt numFmtId="1" formatCode="0"/>
    </dxf>
    <dxf>
      <numFmt numFmtId="165" formatCode="&quot;R&quot;#,##0.00"/>
    </dxf>
    <dxf>
      <numFmt numFmtId="165" formatCode="&quot;R&quot;#,##0.00"/>
    </dxf>
    <dxf>
      <numFmt numFmtId="164" formatCode="&quot;R&quot;#,##0"/>
    </dxf>
    <dxf>
      <numFmt numFmtId="164" formatCode="&quot;R&quot;#,##0"/>
    </dxf>
    <dxf>
      <numFmt numFmtId="167" formatCode="0.0%"/>
    </dxf>
    <dxf>
      <numFmt numFmtId="13" formatCode="0%"/>
    </dxf>
    <dxf>
      <numFmt numFmtId="13" formatCode="0%"/>
    </dxf>
    <dxf>
      <numFmt numFmtId="1" formatCode="0"/>
    </dxf>
    <dxf>
      <numFmt numFmtId="14" formatCode="0.00%"/>
    </dxf>
    <dxf>
      <numFmt numFmtId="0" formatCode="General"/>
    </dxf>
    <dxf>
      <numFmt numFmtId="165" formatCode="&quot;R&quot;#,##0.00"/>
    </dxf>
    <dxf>
      <numFmt numFmtId="1" formatCode="0"/>
    </dxf>
    <dxf>
      <numFmt numFmtId="165" formatCode="&quot;R&quot;#,##0.00"/>
    </dxf>
    <dxf>
      <numFmt numFmtId="164" formatCode="&quot;R&quot;#,##0"/>
    </dxf>
    <dxf>
      <numFmt numFmtId="164" formatCode="&quot;R&quot;#,##0"/>
    </dxf>
    <dxf>
      <numFmt numFmtId="165" formatCode="&quot;R&quot;#,##0.00"/>
    </dxf>
    <dxf>
      <numFmt numFmtId="165" formatCode="&quot;R&quot;#,##0.00"/>
    </dxf>
    <dxf>
      <numFmt numFmtId="164" formatCode="&quot;R&quot;#,##0"/>
    </dxf>
    <dxf>
      <numFmt numFmtId="165" formatCode="&quot;R&quot;#,##0.00"/>
    </dxf>
    <dxf>
      <font>
        <b/>
        <i val="0"/>
        <color rgb="FFEC255A"/>
        <name val="Calibri"/>
        <family val="2"/>
        <scheme val="minor"/>
      </font>
      <fill>
        <patternFill>
          <bgColor rgb="FF160040"/>
        </patternFill>
      </fill>
      <border diagonalUp="0" diagonalDown="0">
        <left/>
        <right/>
        <top/>
        <bottom/>
        <vertical/>
        <horizontal/>
      </border>
    </dxf>
    <dxf>
      <font>
        <b/>
        <i val="0"/>
        <color rgb="FFEC255A"/>
        <name val="Calibri"/>
        <family val="2"/>
        <scheme val="minor"/>
      </font>
      <fill>
        <patternFill>
          <bgColor rgb="FF160040"/>
        </patternFill>
      </fill>
      <border diagonalUp="0" diagonalDown="0">
        <left/>
        <right/>
        <top/>
        <bottom/>
        <vertical/>
        <horizontal/>
      </border>
    </dxf>
  </dxfs>
  <tableStyles count="1" defaultTableStyle="TableStyleMedium2" defaultPivotStyle="PivotStyleLight16">
    <tableStyle name="SlicerStyleLight1 2" pivot="0" table="0" count="10" xr9:uid="{E4C20233-E39D-49ED-81B2-E9E3A3BCC0BE}">
      <tableStyleElement type="wholeTable" dxfId="134"/>
      <tableStyleElement type="headerRow" dxfId="133"/>
    </tableStyle>
  </tableStyles>
  <colors>
    <mruColors>
      <color rgb="FFEC255A"/>
      <color rgb="FF160040"/>
      <color rgb="FFC94BA8"/>
      <color rgb="FF9A0680"/>
      <color rgb="FF072227"/>
      <color rgb="FF4C0070"/>
    </mruColors>
  </colors>
  <extLst>
    <ext xmlns:x14="http://schemas.microsoft.com/office/spreadsheetml/2009/9/main" uri="{46F421CA-312F-682f-3DD2-61675219B42D}">
      <x14:dxfs count="8">
        <dxf>
          <font>
            <b/>
            <i val="0"/>
            <color rgb="FFEC255A"/>
            <name val="Calibri"/>
            <family val="2"/>
            <scheme val="minor"/>
          </font>
          <fill>
            <patternFill>
              <bgColor rgb="FF160040"/>
            </patternFill>
          </fill>
          <border diagonalUp="0" diagonalDown="0">
            <left/>
            <right/>
            <top/>
            <bottom/>
            <vertical/>
            <horizontal/>
          </border>
        </dxf>
        <dxf>
          <font>
            <b/>
            <i val="0"/>
            <color rgb="FFEC255A"/>
            <name val="Calibri"/>
            <family val="2"/>
            <scheme val="minor"/>
          </font>
          <fill>
            <patternFill>
              <bgColor rgb="FF160040"/>
            </patternFill>
          </fill>
          <border diagonalUp="0" diagonalDown="0">
            <left/>
            <right/>
            <top/>
            <bottom/>
            <vertical/>
            <horizontal/>
          </border>
        </dxf>
        <dxf>
          <font>
            <b/>
            <i val="0"/>
            <color rgb="FFEC255A"/>
            <name val="Calibri"/>
            <family val="2"/>
            <scheme val="minor"/>
          </font>
          <fill>
            <patternFill>
              <bgColor rgb="FF160040"/>
            </patternFill>
          </fill>
          <border diagonalUp="0" diagonalDown="0">
            <left/>
            <right/>
            <top/>
            <bottom/>
            <vertical/>
            <horizontal/>
          </border>
        </dxf>
        <dxf>
          <font>
            <b/>
            <i val="0"/>
            <color rgb="FFEC255A"/>
            <name val="Calibri"/>
            <family val="2"/>
            <scheme val="minor"/>
          </font>
          <fill>
            <patternFill>
              <bgColor rgb="FF160040"/>
            </patternFill>
          </fill>
          <border diagonalUp="0" diagonalDown="0">
            <left/>
            <right/>
            <top/>
            <bottom/>
            <vertical/>
            <horizontal/>
          </border>
        </dxf>
        <dxf>
          <font>
            <b/>
            <i/>
            <sz val="14"/>
            <color rgb="FF9A0680"/>
            <name val="Calibri"/>
            <family val="2"/>
            <scheme val="minor"/>
          </font>
          <fill>
            <patternFill>
              <bgColor rgb="FF160040"/>
            </patternFill>
          </fill>
          <border diagonalUp="0" diagonalDown="0">
            <left/>
            <right/>
            <top/>
            <bottom/>
            <vertical/>
            <horizontal/>
          </border>
        </dxf>
        <dxf>
          <font>
            <b/>
            <i/>
            <sz val="14"/>
            <color rgb="FF9A0680"/>
            <name val="Calibri"/>
            <family val="2"/>
            <scheme val="minor"/>
          </font>
          <fill>
            <patternFill>
              <bgColor rgb="FF160040"/>
            </patternFill>
          </fill>
          <border diagonalUp="0" diagonalDown="0">
            <left/>
            <right/>
            <top/>
            <bottom/>
            <vertical/>
            <horizontal/>
          </border>
        </dxf>
        <dxf>
          <font>
            <b/>
            <i val="0"/>
            <color rgb="FFEC255A"/>
            <name val="Calibri"/>
            <family val="2"/>
            <scheme val="minor"/>
          </font>
          <fill>
            <patternFill>
              <bgColor rgb="FF160040"/>
            </patternFill>
          </fill>
          <border diagonalUp="0" diagonalDown="0">
            <left/>
            <right/>
            <top/>
            <bottom/>
            <vertical/>
            <horizontal/>
          </border>
        </dxf>
        <dxf>
          <font>
            <b/>
            <i val="0"/>
            <color rgb="FFEC255A"/>
            <name val="Calibri"/>
            <family val="2"/>
            <scheme val="minor"/>
          </font>
          <fill>
            <patternFill>
              <bgColor rgb="FF160040"/>
            </patternFill>
          </fill>
          <border diagonalUp="0" diagonalDown="0">
            <left/>
            <right/>
            <top/>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pivotCacheDefinition" Target="pivotCache/pivotCacheDefinition8.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powerPivotData" Target="model/item.data"/><Relationship Id="rId34" Type="http://schemas.openxmlformats.org/officeDocument/2006/relationships/customXml" Target="../customXml/item12.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5.xml"/><Relationship Id="rId19" Type="http://schemas.openxmlformats.org/officeDocument/2006/relationships/styles" Target="style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[ECOM_KPI_DASHBOARD (version 1).xlsb.xlsm]Sheet2!PivotTable5</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2060"/>
            </a:solidFill>
            <a:round/>
          </a:ln>
          <a:effectLst/>
        </c:spPr>
        <c:marker>
          <c:symbol val="circle"/>
          <c:size val="5"/>
          <c:spPr>
            <a:solidFill>
              <a:srgbClr val="00206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6004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Sheet2!$Q$2</c:f>
              <c:strCache>
                <c:ptCount val="1"/>
                <c:pt idx="0">
                  <c:v>Total</c:v>
                </c:pt>
              </c:strCache>
            </c:strRef>
          </c:tx>
          <c:spPr>
            <a:ln w="28575" cap="rnd">
              <a:solidFill>
                <a:srgbClr val="002060"/>
              </a:solidFill>
              <a:round/>
            </a:ln>
            <a:effectLst/>
          </c:spPr>
          <c:marker>
            <c:symbol val="circle"/>
            <c:size val="5"/>
            <c:spPr>
              <a:solidFill>
                <a:srgbClr val="00206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6004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Sheet2!$P$3:$P$14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Sheet2!$Q$3:$Q$14</c:f>
              <c:numCache>
                <c:formatCode>"R"#\ ##0</c:formatCode>
                <c:ptCount val="12"/>
                <c:pt idx="0">
                  <c:v>704830.67</c:v>
                </c:pt>
                <c:pt idx="1">
                  <c:v>1145858.4099999999</c:v>
                </c:pt>
                <c:pt idx="2">
                  <c:v>973826.64</c:v>
                </c:pt>
                <c:pt idx="3">
                  <c:v>593874.15</c:v>
                </c:pt>
                <c:pt idx="4">
                  <c:v>525597.63</c:v>
                </c:pt>
                <c:pt idx="5">
                  <c:v>1116531.17</c:v>
                </c:pt>
                <c:pt idx="6">
                  <c:v>408698.34</c:v>
                </c:pt>
                <c:pt idx="7">
                  <c:v>1328003.76</c:v>
                </c:pt>
                <c:pt idx="8">
                  <c:v>929867.07</c:v>
                </c:pt>
                <c:pt idx="9">
                  <c:v>652845.17000000004</c:v>
                </c:pt>
                <c:pt idx="10">
                  <c:v>516703.85</c:v>
                </c:pt>
                <c:pt idx="11">
                  <c:v>2385645.69</c:v>
                </c:pt>
              </c:numCache>
            </c:numRef>
          </c:val>
          <c:smooth val="0"/>
          <c:extLst>
            <c:ext xmlns:c16="http://schemas.microsoft.com/office/drawing/2014/chart" uri="{C3380CC4-5D6E-409C-BE32-E72D297353CC}">
              <c16:uniqueId val="{00000000-E6CE-413A-B68B-D8A51502B5CF}"/>
            </c:ext>
          </c:extLst>
        </c:ser>
        <c:dLbls>
          <c:dLblPos val="t"/>
          <c:showLegendKey val="0"/>
          <c:showVal val="1"/>
          <c:showCatName val="0"/>
          <c:showSerName val="0"/>
          <c:showPercent val="0"/>
          <c:showBubbleSize val="0"/>
        </c:dLbls>
        <c:marker val="1"/>
        <c:smooth val="0"/>
        <c:axId val="418518240"/>
        <c:axId val="418522176"/>
      </c:lineChart>
      <c:catAx>
        <c:axId val="418518240"/>
        <c:scaling>
          <c:orientation val="minMax"/>
        </c:scaling>
        <c:delete val="0"/>
        <c:axPos val="b"/>
        <c:numFmt formatCode="General" sourceLinked="1"/>
        <c:majorTickMark val="none"/>
        <c:minorTickMark val="none"/>
        <c:tickLblPos val="nextTo"/>
        <c:spPr>
          <a:noFill/>
          <a:ln w="9525" cap="flat" cmpd="sng" algn="ctr">
            <a:solidFill>
              <a:srgbClr val="160040"/>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418522176"/>
        <c:crosses val="autoZero"/>
        <c:auto val="1"/>
        <c:lblAlgn val="ctr"/>
        <c:lblOffset val="100"/>
        <c:noMultiLvlLbl val="0"/>
      </c:catAx>
      <c:valAx>
        <c:axId val="418522176"/>
        <c:scaling>
          <c:orientation val="minMax"/>
        </c:scaling>
        <c:delete val="1"/>
        <c:axPos val="l"/>
        <c:numFmt formatCode="&quot;R&quot;#\ ##0" sourceLinked="1"/>
        <c:majorTickMark val="none"/>
        <c:minorTickMark val="none"/>
        <c:tickLblPos val="nextTo"/>
        <c:crossAx val="418518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6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[ECOM_KPI_DASHBOARD (version 1).xlsb.xlsm]Sheet2!PivotTable6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54000">
                <a:srgbClr val="EC255A"/>
              </a:gs>
              <a:gs pos="0">
                <a:srgbClr val="00B0F0"/>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54000">
                <a:srgbClr val="EC255A"/>
              </a:gs>
              <a:gs pos="0">
                <a:srgbClr val="00B0F0"/>
              </a:gs>
            </a:gsLst>
            <a:lin ang="5400000" scaled="1"/>
          </a:gradFill>
          <a:ln>
            <a:noFill/>
          </a:ln>
          <a:effectLst/>
        </c:spPr>
      </c:pivotFmt>
    </c:pivotFmts>
    <c:plotArea>
      <c:layout>
        <c:manualLayout>
          <c:layoutTarget val="inner"/>
          <c:xMode val="edge"/>
          <c:yMode val="edge"/>
          <c:x val="3.6124794745484398E-2"/>
          <c:y val="7.9840269168579905E-2"/>
          <c:w val="0.92775041050903118"/>
          <c:h val="0.72696011004126548"/>
        </c:manualLayout>
      </c:layout>
      <c:barChart>
        <c:barDir val="col"/>
        <c:grouping val="clustered"/>
        <c:varyColors val="0"/>
        <c:ser>
          <c:idx val="0"/>
          <c:order val="0"/>
          <c:tx>
            <c:strRef>
              <c:f>Sheet2!$P$17</c:f>
              <c:strCache>
                <c:ptCount val="1"/>
                <c:pt idx="0">
                  <c:v>Total</c:v>
                </c:pt>
              </c:strCache>
            </c:strRef>
          </c:tx>
          <c:spPr>
            <a:gradFill>
              <a:gsLst>
                <a:gs pos="54000">
                  <a:srgbClr val="EC255A"/>
                </a:gs>
                <a:gs pos="0">
                  <a:srgbClr val="00B0F0"/>
                </a:gs>
              </a:gsLst>
              <a:lin ang="5400000" scaled="1"/>
            </a:gradFill>
            <a:ln>
              <a:noFill/>
            </a:ln>
            <a:effectLst/>
          </c:spPr>
          <c:invertIfNegative val="0"/>
          <c:cat>
            <c:strRef>
              <c:f>Sheet2!$O$18:$O$21</c:f>
              <c:strCache>
                <c:ptCount val="4"/>
                <c:pt idx="0">
                  <c:v>Q1</c:v>
                </c:pt>
                <c:pt idx="1">
                  <c:v>Q2</c:v>
                </c:pt>
                <c:pt idx="2">
                  <c:v>Q3</c:v>
                </c:pt>
                <c:pt idx="3">
                  <c:v>Q4</c:v>
                </c:pt>
              </c:strCache>
            </c:strRef>
          </c:cat>
          <c:val>
            <c:numRef>
              <c:f>Sheet2!$P$18:$P$21</c:f>
              <c:numCache>
                <c:formatCode>"R"#\ ##0</c:formatCode>
                <c:ptCount val="4"/>
                <c:pt idx="0">
                  <c:v>3243804</c:v>
                </c:pt>
                <c:pt idx="1">
                  <c:v>2475244</c:v>
                </c:pt>
                <c:pt idx="2">
                  <c:v>3015203</c:v>
                </c:pt>
                <c:pt idx="3">
                  <c:v>4026857</c:v>
                </c:pt>
              </c:numCache>
            </c:numRef>
          </c:val>
          <c:extLst>
            <c:ext xmlns:c16="http://schemas.microsoft.com/office/drawing/2014/chart" uri="{C3380CC4-5D6E-409C-BE32-E72D297353CC}">
              <c16:uniqueId val="{00000000-9611-48B0-A706-2B590E35DFFB}"/>
            </c:ext>
          </c:extLst>
        </c:ser>
        <c:dLbls>
          <c:showLegendKey val="0"/>
          <c:showVal val="0"/>
          <c:showCatName val="0"/>
          <c:showSerName val="0"/>
          <c:showPercent val="0"/>
          <c:showBubbleSize val="0"/>
        </c:dLbls>
        <c:gapWidth val="219"/>
        <c:overlap val="-27"/>
        <c:axId val="511629488"/>
        <c:axId val="511624240"/>
      </c:barChart>
      <c:catAx>
        <c:axId val="51162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EC255A"/>
                </a:solidFill>
                <a:latin typeface="+mn-lt"/>
                <a:ea typeface="+mn-ea"/>
                <a:cs typeface="+mn-cs"/>
              </a:defRPr>
            </a:pPr>
            <a:endParaRPr lang="en-US"/>
          </a:p>
        </c:txPr>
        <c:crossAx val="511624240"/>
        <c:crosses val="autoZero"/>
        <c:auto val="1"/>
        <c:lblAlgn val="ctr"/>
        <c:lblOffset val="100"/>
        <c:noMultiLvlLbl val="0"/>
      </c:catAx>
      <c:valAx>
        <c:axId val="511624240"/>
        <c:scaling>
          <c:orientation val="minMax"/>
        </c:scaling>
        <c:delete val="1"/>
        <c:axPos val="l"/>
        <c:numFmt formatCode="&quot;R&quot;#\ ##0" sourceLinked="1"/>
        <c:majorTickMark val="none"/>
        <c:minorTickMark val="none"/>
        <c:tickLblPos val="nextTo"/>
        <c:crossAx val="511629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[ECOM_KPI_DASHBOARD (version 1).xlsb.xlsm]Sheet2!PivotTable9</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23000">
                <a:srgbClr val="EC255A"/>
              </a:gs>
              <a:gs pos="100000">
                <a:srgbClr val="00B0F0"/>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C255A"/>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940074906367043E-2"/>
          <c:y val="0.12121221761887983"/>
          <c:w val="0.93408239700374529"/>
          <c:h val="0.65456267761288289"/>
        </c:manualLayout>
      </c:layout>
      <c:barChart>
        <c:barDir val="col"/>
        <c:grouping val="clustered"/>
        <c:varyColors val="0"/>
        <c:ser>
          <c:idx val="0"/>
          <c:order val="0"/>
          <c:tx>
            <c:strRef>
              <c:f>Sheet2!$S$17</c:f>
              <c:strCache>
                <c:ptCount val="1"/>
                <c:pt idx="0">
                  <c:v>Total</c:v>
                </c:pt>
              </c:strCache>
            </c:strRef>
          </c:tx>
          <c:spPr>
            <a:gradFill>
              <a:gsLst>
                <a:gs pos="23000">
                  <a:srgbClr val="EC255A"/>
                </a:gs>
                <a:gs pos="100000">
                  <a:srgbClr val="00B0F0"/>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C255A"/>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Sheet2!$R$18:$R$20</c:f>
              <c:strCache>
                <c:ptCount val="3"/>
                <c:pt idx="0">
                  <c:v>Bakers</c:v>
                </c:pt>
                <c:pt idx="1">
                  <c:v>nickolson</c:v>
                </c:pt>
                <c:pt idx="2">
                  <c:v>Thompson</c:v>
                </c:pt>
              </c:strCache>
            </c:strRef>
          </c:cat>
          <c:val>
            <c:numRef>
              <c:f>Sheet2!$S$18:$S$20</c:f>
              <c:numCache>
                <c:formatCode>_-* #\ ##0_-;\-* #\ ##0_-;_-* "-"??_-;_-@_-</c:formatCode>
                <c:ptCount val="3"/>
                <c:pt idx="0">
                  <c:v>117129.48</c:v>
                </c:pt>
                <c:pt idx="1">
                  <c:v>662014.22</c:v>
                </c:pt>
                <c:pt idx="2">
                  <c:v>194682.94</c:v>
                </c:pt>
              </c:numCache>
            </c:numRef>
          </c:val>
          <c:extLst>
            <c:ext xmlns:c16="http://schemas.microsoft.com/office/drawing/2014/chart" uri="{C3380CC4-5D6E-409C-BE32-E72D297353CC}">
              <c16:uniqueId val="{00000000-D2A5-43AE-BEFF-05B2910348D5}"/>
            </c:ext>
          </c:extLst>
        </c:ser>
        <c:dLbls>
          <c:dLblPos val="outEnd"/>
          <c:showLegendKey val="0"/>
          <c:showVal val="1"/>
          <c:showCatName val="0"/>
          <c:showSerName val="0"/>
          <c:showPercent val="0"/>
          <c:showBubbleSize val="0"/>
        </c:dLbls>
        <c:gapWidth val="219"/>
        <c:overlap val="-27"/>
        <c:axId val="325649992"/>
        <c:axId val="325651632"/>
      </c:barChart>
      <c:catAx>
        <c:axId val="325649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EC255A"/>
                </a:solidFill>
                <a:latin typeface="+mn-lt"/>
                <a:ea typeface="+mn-ea"/>
                <a:cs typeface="+mn-cs"/>
              </a:defRPr>
            </a:pPr>
            <a:endParaRPr lang="en-US"/>
          </a:p>
        </c:txPr>
        <c:crossAx val="325651632"/>
        <c:crosses val="autoZero"/>
        <c:auto val="1"/>
        <c:lblAlgn val="ctr"/>
        <c:lblOffset val="100"/>
        <c:noMultiLvlLbl val="0"/>
      </c:catAx>
      <c:valAx>
        <c:axId val="325651632"/>
        <c:scaling>
          <c:orientation val="minMax"/>
        </c:scaling>
        <c:delete val="1"/>
        <c:axPos val="l"/>
        <c:numFmt formatCode="_-* #\ ##0_-;\-* #\ ##0_-;_-* &quot;-&quot;??_-;_-@_-" sourceLinked="1"/>
        <c:majorTickMark val="none"/>
        <c:minorTickMark val="none"/>
        <c:tickLblPos val="nextTo"/>
        <c:crossAx val="325649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svg"/><Relationship Id="rId18" Type="http://schemas.openxmlformats.org/officeDocument/2006/relationships/image" Target="../media/image15.png"/><Relationship Id="rId3" Type="http://schemas.openxmlformats.org/officeDocument/2006/relationships/image" Target="../media/image2.svg"/><Relationship Id="rId7" Type="http://schemas.openxmlformats.org/officeDocument/2006/relationships/image" Target="../media/image6.svg"/><Relationship Id="rId12" Type="http://schemas.openxmlformats.org/officeDocument/2006/relationships/image" Target="../media/image11.png"/><Relationship Id="rId17" Type="http://schemas.openxmlformats.org/officeDocument/2006/relationships/image" Target="../media/image14.svg"/><Relationship Id="rId2" Type="http://schemas.openxmlformats.org/officeDocument/2006/relationships/image" Target="../media/image1.png"/><Relationship Id="rId16" Type="http://schemas.openxmlformats.org/officeDocument/2006/relationships/image" Target="../media/image13.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chart" Target="../charts/chart3.xml"/><Relationship Id="rId10" Type="http://schemas.openxmlformats.org/officeDocument/2006/relationships/image" Target="../media/image9.png"/><Relationship Id="rId19" Type="http://schemas.openxmlformats.org/officeDocument/2006/relationships/image" Target="../media/image16.svg"/><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400051</xdr:colOff>
      <xdr:row>13</xdr:row>
      <xdr:rowOff>85726</xdr:rowOff>
    </xdr:from>
    <xdr:to>
      <xdr:col>7</xdr:col>
      <xdr:colOff>581025</xdr:colOff>
      <xdr:row>21</xdr:row>
      <xdr:rowOff>123826</xdr:rowOff>
    </xdr:to>
    <xdr:sp macro="" textlink="">
      <xdr:nvSpPr>
        <xdr:cNvPr id="5" name="Rectangle: Rounded Corners 4">
          <a:extLst>
            <a:ext uri="{FF2B5EF4-FFF2-40B4-BE49-F238E27FC236}">
              <a16:creationId xmlns:a16="http://schemas.microsoft.com/office/drawing/2014/main" id="{2B4B1F60-4FCE-433F-921D-312AFD998381}"/>
            </a:ext>
          </a:extLst>
        </xdr:cNvPr>
        <xdr:cNvSpPr/>
      </xdr:nvSpPr>
      <xdr:spPr>
        <a:xfrm>
          <a:off x="400051" y="2562226"/>
          <a:ext cx="4448174" cy="1562100"/>
        </a:xfrm>
        <a:prstGeom prst="roundRect">
          <a:avLst/>
        </a:prstGeom>
        <a:solidFill>
          <a:srgbClr val="160040"/>
        </a:solidFill>
        <a:ln w="38100">
          <a:solidFill>
            <a:srgbClr val="EC25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0</xdr:col>
      <xdr:colOff>409576</xdr:colOff>
      <xdr:row>22</xdr:row>
      <xdr:rowOff>95250</xdr:rowOff>
    </xdr:from>
    <xdr:to>
      <xdr:col>7</xdr:col>
      <xdr:colOff>514349</xdr:colOff>
      <xdr:row>29</xdr:row>
      <xdr:rowOff>76200</xdr:rowOff>
    </xdr:to>
    <xdr:sp macro="" textlink="">
      <xdr:nvSpPr>
        <xdr:cNvPr id="10" name="Rectangle: Rounded Corners 9">
          <a:extLst>
            <a:ext uri="{FF2B5EF4-FFF2-40B4-BE49-F238E27FC236}">
              <a16:creationId xmlns:a16="http://schemas.microsoft.com/office/drawing/2014/main" id="{9D25200F-0462-416B-BA6F-2A47FA9CC069}"/>
            </a:ext>
          </a:extLst>
        </xdr:cNvPr>
        <xdr:cNvSpPr/>
      </xdr:nvSpPr>
      <xdr:spPr>
        <a:xfrm>
          <a:off x="409576" y="4286250"/>
          <a:ext cx="4371973" cy="1314450"/>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0</xdr:colOff>
      <xdr:row>21</xdr:row>
      <xdr:rowOff>95250</xdr:rowOff>
    </xdr:from>
    <xdr:to>
      <xdr:col>0</xdr:col>
      <xdr:colOff>0</xdr:colOff>
      <xdr:row>27</xdr:row>
      <xdr:rowOff>76200</xdr:rowOff>
    </xdr:to>
    <xdr:sp macro="" textlink="">
      <xdr:nvSpPr>
        <xdr:cNvPr id="11" name="Rectangle: Rounded Corners 10">
          <a:extLst>
            <a:ext uri="{FF2B5EF4-FFF2-40B4-BE49-F238E27FC236}">
              <a16:creationId xmlns:a16="http://schemas.microsoft.com/office/drawing/2014/main" id="{6C0A5780-2595-433B-8098-DF06BAC1AF16}"/>
            </a:ext>
          </a:extLst>
        </xdr:cNvPr>
        <xdr:cNvSpPr/>
      </xdr:nvSpPr>
      <xdr:spPr>
        <a:xfrm>
          <a:off x="0" y="4095750"/>
          <a:ext cx="0" cy="1123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190501</xdr:colOff>
      <xdr:row>11</xdr:row>
      <xdr:rowOff>142875</xdr:rowOff>
    </xdr:from>
    <xdr:to>
      <xdr:col>12</xdr:col>
      <xdr:colOff>323850</xdr:colOff>
      <xdr:row>16</xdr:row>
      <xdr:rowOff>142875</xdr:rowOff>
    </xdr:to>
    <xdr:sp macro="" textlink="">
      <xdr:nvSpPr>
        <xdr:cNvPr id="19" name="Rectangle: Rounded Corners 18">
          <a:extLst>
            <a:ext uri="{FF2B5EF4-FFF2-40B4-BE49-F238E27FC236}">
              <a16:creationId xmlns:a16="http://schemas.microsoft.com/office/drawing/2014/main" id="{A7C84987-B9B3-4261-9386-0498BCBA1232}"/>
            </a:ext>
          </a:extLst>
        </xdr:cNvPr>
        <xdr:cNvSpPr/>
      </xdr:nvSpPr>
      <xdr:spPr>
        <a:xfrm>
          <a:off x="5067301" y="2238375"/>
          <a:ext cx="2571749" cy="952500"/>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161926</xdr:colOff>
      <xdr:row>17</xdr:row>
      <xdr:rowOff>57150</xdr:rowOff>
    </xdr:from>
    <xdr:to>
      <xdr:col>12</xdr:col>
      <xdr:colOff>295275</xdr:colOff>
      <xdr:row>22</xdr:row>
      <xdr:rowOff>85725</xdr:rowOff>
    </xdr:to>
    <xdr:sp macro="" textlink="">
      <xdr:nvSpPr>
        <xdr:cNvPr id="20" name="Rectangle: Rounded Corners 19">
          <a:extLst>
            <a:ext uri="{FF2B5EF4-FFF2-40B4-BE49-F238E27FC236}">
              <a16:creationId xmlns:a16="http://schemas.microsoft.com/office/drawing/2014/main" id="{2DDEB452-916A-4930-9FD0-A1CB94990344}"/>
            </a:ext>
          </a:extLst>
        </xdr:cNvPr>
        <xdr:cNvSpPr/>
      </xdr:nvSpPr>
      <xdr:spPr>
        <a:xfrm>
          <a:off x="5038726" y="3295650"/>
          <a:ext cx="2571749" cy="981075"/>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142876</xdr:colOff>
      <xdr:row>22</xdr:row>
      <xdr:rowOff>180975</xdr:rowOff>
    </xdr:from>
    <xdr:to>
      <xdr:col>12</xdr:col>
      <xdr:colOff>276225</xdr:colOff>
      <xdr:row>27</xdr:row>
      <xdr:rowOff>152400</xdr:rowOff>
    </xdr:to>
    <xdr:sp macro="" textlink="">
      <xdr:nvSpPr>
        <xdr:cNvPr id="21" name="Rectangle: Rounded Corners 20">
          <a:extLst>
            <a:ext uri="{FF2B5EF4-FFF2-40B4-BE49-F238E27FC236}">
              <a16:creationId xmlns:a16="http://schemas.microsoft.com/office/drawing/2014/main" id="{BA0FAA7D-E6CB-4CF2-BA9C-15D38A6997A4}"/>
            </a:ext>
          </a:extLst>
        </xdr:cNvPr>
        <xdr:cNvSpPr/>
      </xdr:nvSpPr>
      <xdr:spPr>
        <a:xfrm>
          <a:off x="5019676" y="4371975"/>
          <a:ext cx="2571749" cy="923925"/>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0</xdr:col>
      <xdr:colOff>352425</xdr:colOff>
      <xdr:row>3</xdr:row>
      <xdr:rowOff>85725</xdr:rowOff>
    </xdr:from>
    <xdr:to>
      <xdr:col>6</xdr:col>
      <xdr:colOff>495300</xdr:colOff>
      <xdr:row>12</xdr:row>
      <xdr:rowOff>161925</xdr:rowOff>
    </xdr:to>
    <xdr:sp macro="" textlink="">
      <xdr:nvSpPr>
        <xdr:cNvPr id="22" name="Rectangle: Rounded Corners 21">
          <a:extLst>
            <a:ext uri="{FF2B5EF4-FFF2-40B4-BE49-F238E27FC236}">
              <a16:creationId xmlns:a16="http://schemas.microsoft.com/office/drawing/2014/main" id="{9EEA2FE4-84F3-4551-AD05-F212E987C8AE}"/>
            </a:ext>
          </a:extLst>
        </xdr:cNvPr>
        <xdr:cNvSpPr/>
      </xdr:nvSpPr>
      <xdr:spPr>
        <a:xfrm>
          <a:off x="352425" y="657225"/>
          <a:ext cx="3800475" cy="1790700"/>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323850</xdr:colOff>
      <xdr:row>1</xdr:row>
      <xdr:rowOff>47625</xdr:rowOff>
    </xdr:from>
    <xdr:to>
      <xdr:col>20</xdr:col>
      <xdr:colOff>95249</xdr:colOff>
      <xdr:row>10</xdr:row>
      <xdr:rowOff>123825</xdr:rowOff>
    </xdr:to>
    <xdr:sp macro="" textlink="">
      <xdr:nvSpPr>
        <xdr:cNvPr id="23" name="Rectangle: Rounded Corners 22">
          <a:extLst>
            <a:ext uri="{FF2B5EF4-FFF2-40B4-BE49-F238E27FC236}">
              <a16:creationId xmlns:a16="http://schemas.microsoft.com/office/drawing/2014/main" id="{F318F9CF-7A2B-4B44-9577-055E65DA2C86}"/>
            </a:ext>
          </a:extLst>
        </xdr:cNvPr>
        <xdr:cNvSpPr/>
      </xdr:nvSpPr>
      <xdr:spPr>
        <a:xfrm>
          <a:off x="6419850" y="238125"/>
          <a:ext cx="5867399" cy="1790700"/>
        </a:xfrm>
        <a:prstGeom prst="roundRect">
          <a:avLst/>
        </a:prstGeom>
        <a:gradFill flip="none" rotWithShape="1">
          <a:gsLst>
            <a:gs pos="0">
              <a:srgbClr val="00B0F0"/>
            </a:gs>
            <a:gs pos="100000">
              <a:srgbClr val="EC255A"/>
            </a:gs>
          </a:gsLst>
          <a:lin ang="7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19049</xdr:colOff>
      <xdr:row>1</xdr:row>
      <xdr:rowOff>28575</xdr:rowOff>
    </xdr:from>
    <xdr:to>
      <xdr:col>10</xdr:col>
      <xdr:colOff>66674</xdr:colOff>
      <xdr:row>11</xdr:row>
      <xdr:rowOff>66675</xdr:rowOff>
    </xdr:to>
    <xdr:sp macro="" textlink="">
      <xdr:nvSpPr>
        <xdr:cNvPr id="24" name="Rectangle: Rounded Corners 23">
          <a:extLst>
            <a:ext uri="{FF2B5EF4-FFF2-40B4-BE49-F238E27FC236}">
              <a16:creationId xmlns:a16="http://schemas.microsoft.com/office/drawing/2014/main" id="{CAE3DCBE-2CCC-4F52-82ED-B6764567CB8A}"/>
            </a:ext>
          </a:extLst>
        </xdr:cNvPr>
        <xdr:cNvSpPr/>
      </xdr:nvSpPr>
      <xdr:spPr>
        <a:xfrm>
          <a:off x="4286249" y="219075"/>
          <a:ext cx="1876425" cy="1943100"/>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438151</xdr:colOff>
      <xdr:row>11</xdr:row>
      <xdr:rowOff>104775</xdr:rowOff>
    </xdr:from>
    <xdr:to>
      <xdr:col>20</xdr:col>
      <xdr:colOff>9525</xdr:colOff>
      <xdr:row>29</xdr:row>
      <xdr:rowOff>85725</xdr:rowOff>
    </xdr:to>
    <xdr:sp macro="" textlink="">
      <xdr:nvSpPr>
        <xdr:cNvPr id="25" name="Rectangle: Rounded Corners 24">
          <a:extLst>
            <a:ext uri="{FF2B5EF4-FFF2-40B4-BE49-F238E27FC236}">
              <a16:creationId xmlns:a16="http://schemas.microsoft.com/office/drawing/2014/main" id="{CF212831-A5DF-488C-B5F3-2CDC7A4A3969}"/>
            </a:ext>
          </a:extLst>
        </xdr:cNvPr>
        <xdr:cNvSpPr/>
      </xdr:nvSpPr>
      <xdr:spPr>
        <a:xfrm>
          <a:off x="7753351" y="2200275"/>
          <a:ext cx="4448174" cy="3409950"/>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409576</xdr:colOff>
      <xdr:row>14</xdr:row>
      <xdr:rowOff>28575</xdr:rowOff>
    </xdr:from>
    <xdr:to>
      <xdr:col>6</xdr:col>
      <xdr:colOff>57150</xdr:colOff>
      <xdr:row>15</xdr:row>
      <xdr:rowOff>180975</xdr:rowOff>
    </xdr:to>
    <xdr:sp macro="" textlink="Sheet2!E5">
      <xdr:nvSpPr>
        <xdr:cNvPr id="26" name="Rectangle: Rounded Corners 25">
          <a:extLst>
            <a:ext uri="{FF2B5EF4-FFF2-40B4-BE49-F238E27FC236}">
              <a16:creationId xmlns:a16="http://schemas.microsoft.com/office/drawing/2014/main" id="{141E9F57-B47C-4AEA-BBE1-A60C8E4DEBC3}"/>
            </a:ext>
          </a:extLst>
        </xdr:cNvPr>
        <xdr:cNvSpPr/>
      </xdr:nvSpPr>
      <xdr:spPr>
        <a:xfrm>
          <a:off x="1628776" y="2695575"/>
          <a:ext cx="2085974" cy="342900"/>
        </a:xfrm>
        <a:prstGeom prst="roundRect">
          <a:avLst>
            <a:gd name="adj" fmla="val 50000"/>
          </a:avLst>
        </a:prstGeom>
        <a:gradFill flip="none" rotWithShape="1">
          <a:gsLst>
            <a:gs pos="0">
              <a:srgbClr val="9A0680"/>
            </a:gs>
            <a:gs pos="39000">
              <a:srgbClr val="9A0680"/>
            </a:gs>
            <a:gs pos="82000">
              <a:srgbClr val="EC255A"/>
            </a:gs>
            <a:gs pos="100000">
              <a:srgbClr val="EC255A"/>
            </a:gs>
          </a:gsLst>
          <a:lin ang="7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E15FD25-2140-416A-8765-52E051D3C9C4}" type="TxLink">
            <a:rPr lang="en-US" sz="1600" b="1" i="1" u="none" strike="noStrike">
              <a:solidFill>
                <a:schemeClr val="accent4">
                  <a:lumMod val="60000"/>
                  <a:lumOff val="40000"/>
                </a:schemeClr>
              </a:solidFill>
              <a:latin typeface="Calibri"/>
              <a:ea typeface="+mn-ea"/>
              <a:cs typeface="Calibri"/>
            </a:rPr>
            <a:pPr marL="0" indent="0" algn="ctr"/>
            <a:t>March</a:t>
          </a:fld>
          <a:endParaRPr lang="en-ZA" sz="1600" b="1" i="1">
            <a:solidFill>
              <a:schemeClr val="accent4">
                <a:lumMod val="60000"/>
                <a:lumOff val="40000"/>
              </a:schemeClr>
            </a:solidFill>
            <a:latin typeface="+mn-lt"/>
            <a:ea typeface="+mn-ea"/>
            <a:cs typeface="+mn-cs"/>
          </a:endParaRPr>
        </a:p>
      </xdr:txBody>
    </xdr:sp>
    <xdr:clientData/>
  </xdr:twoCellAnchor>
  <xdr:twoCellAnchor>
    <xdr:from>
      <xdr:col>1</xdr:col>
      <xdr:colOff>142876</xdr:colOff>
      <xdr:row>14</xdr:row>
      <xdr:rowOff>38100</xdr:rowOff>
    </xdr:from>
    <xdr:to>
      <xdr:col>2</xdr:col>
      <xdr:colOff>333375</xdr:colOff>
      <xdr:row>16</xdr:row>
      <xdr:rowOff>0</xdr:rowOff>
    </xdr:to>
    <xdr:sp macro="[0]!clear1" textlink="">
      <xdr:nvSpPr>
        <xdr:cNvPr id="27" name="Rectangle: Rounded Corners 26">
          <a:extLst>
            <a:ext uri="{FF2B5EF4-FFF2-40B4-BE49-F238E27FC236}">
              <a16:creationId xmlns:a16="http://schemas.microsoft.com/office/drawing/2014/main" id="{8D45FB9D-9D12-4F6F-8536-406AC181CAE0}"/>
            </a:ext>
          </a:extLst>
        </xdr:cNvPr>
        <xdr:cNvSpPr/>
      </xdr:nvSpPr>
      <xdr:spPr>
        <a:xfrm>
          <a:off x="752476" y="2705100"/>
          <a:ext cx="800099" cy="342900"/>
        </a:xfrm>
        <a:prstGeom prst="roundRect">
          <a:avLst>
            <a:gd name="adj" fmla="val 50000"/>
          </a:avLst>
        </a:prstGeom>
        <a:solidFill>
          <a:srgbClr val="4C007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100" b="1"/>
            <a:t>Clear</a:t>
          </a:r>
        </a:p>
      </xdr:txBody>
    </xdr:sp>
    <xdr:clientData/>
  </xdr:twoCellAnchor>
  <xdr:twoCellAnchor editAs="oneCell">
    <xdr:from>
      <xdr:col>0</xdr:col>
      <xdr:colOff>561975</xdr:colOff>
      <xdr:row>17</xdr:row>
      <xdr:rowOff>38100</xdr:rowOff>
    </xdr:from>
    <xdr:to>
      <xdr:col>7</xdr:col>
      <xdr:colOff>361950</xdr:colOff>
      <xdr:row>21</xdr:row>
      <xdr:rowOff>9525</xdr:rowOff>
    </xdr:to>
    <mc:AlternateContent xmlns:mc="http://schemas.openxmlformats.org/markup-compatibility/2006" xmlns:a14="http://schemas.microsoft.com/office/drawing/2010/main">
      <mc:Choice Requires="a14">
        <xdr:graphicFrame macro="">
          <xdr:nvGraphicFramePr>
            <xdr:cNvPr id="28" name="Month">
              <a:extLst>
                <a:ext uri="{FF2B5EF4-FFF2-40B4-BE49-F238E27FC236}">
                  <a16:creationId xmlns:a16="http://schemas.microsoft.com/office/drawing/2014/main" id="{6FFCB3BC-9E77-45DE-8200-2A6D35319AB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61975" y="3276600"/>
              <a:ext cx="4067175" cy="733425"/>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438150</xdr:colOff>
      <xdr:row>1</xdr:row>
      <xdr:rowOff>57150</xdr:rowOff>
    </xdr:from>
    <xdr:to>
      <xdr:col>19</xdr:col>
      <xdr:colOff>552450</xdr:colOff>
      <xdr:row>10</xdr:row>
      <xdr:rowOff>66675</xdr:rowOff>
    </xdr:to>
    <xdr:graphicFrame macro="">
      <xdr:nvGraphicFramePr>
        <xdr:cNvPr id="16" name="Chart 15">
          <a:extLst>
            <a:ext uri="{FF2B5EF4-FFF2-40B4-BE49-F238E27FC236}">
              <a16:creationId xmlns:a16="http://schemas.microsoft.com/office/drawing/2014/main" id="{5C1F0B86-6048-4003-9E65-E70E68C0B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190500</xdr:colOff>
      <xdr:row>9</xdr:row>
      <xdr:rowOff>38100</xdr:rowOff>
    </xdr:from>
    <xdr:to>
      <xdr:col>2</xdr:col>
      <xdr:colOff>114300</xdr:colOff>
      <xdr:row>12</xdr:row>
      <xdr:rowOff>0</xdr:rowOff>
    </xdr:to>
    <xdr:pic>
      <xdr:nvPicPr>
        <xdr:cNvPr id="4" name="Graphic 3" descr="Bar graph with upward trend with solid fill">
          <a:extLst>
            <a:ext uri="{FF2B5EF4-FFF2-40B4-BE49-F238E27FC236}">
              <a16:creationId xmlns:a16="http://schemas.microsoft.com/office/drawing/2014/main" id="{CC74CD91-4D51-4093-AEF8-A5195086B0A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00100" y="1752600"/>
          <a:ext cx="533400" cy="533400"/>
        </a:xfrm>
        <a:prstGeom prst="rect">
          <a:avLst/>
        </a:prstGeom>
      </xdr:spPr>
    </xdr:pic>
    <xdr:clientData/>
  </xdr:twoCellAnchor>
  <xdr:twoCellAnchor editAs="oneCell">
    <xdr:from>
      <xdr:col>3</xdr:col>
      <xdr:colOff>238125</xdr:colOff>
      <xdr:row>9</xdr:row>
      <xdr:rowOff>0</xdr:rowOff>
    </xdr:from>
    <xdr:to>
      <xdr:col>4</xdr:col>
      <xdr:colOff>209550</xdr:colOff>
      <xdr:row>12</xdr:row>
      <xdr:rowOff>9525</xdr:rowOff>
    </xdr:to>
    <xdr:pic>
      <xdr:nvPicPr>
        <xdr:cNvPr id="7" name="Graphic 6" descr="Harvey Balls 20% with solid fill">
          <a:extLst>
            <a:ext uri="{FF2B5EF4-FFF2-40B4-BE49-F238E27FC236}">
              <a16:creationId xmlns:a16="http://schemas.microsoft.com/office/drawing/2014/main" id="{D0F5EDC6-C55B-4891-89EA-797CBC755B7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066925" y="1714500"/>
          <a:ext cx="581025" cy="581025"/>
        </a:xfrm>
        <a:prstGeom prst="rect">
          <a:avLst/>
        </a:prstGeom>
      </xdr:spPr>
    </xdr:pic>
    <xdr:clientData/>
  </xdr:twoCellAnchor>
  <xdr:twoCellAnchor>
    <xdr:from>
      <xdr:col>0</xdr:col>
      <xdr:colOff>238124</xdr:colOff>
      <xdr:row>4</xdr:row>
      <xdr:rowOff>152400</xdr:rowOff>
    </xdr:from>
    <xdr:to>
      <xdr:col>3</xdr:col>
      <xdr:colOff>66675</xdr:colOff>
      <xdr:row>7</xdr:row>
      <xdr:rowOff>28575</xdr:rowOff>
    </xdr:to>
    <xdr:sp macro="" textlink="Sheet2!H17">
      <xdr:nvSpPr>
        <xdr:cNvPr id="8" name="Rectangle 7">
          <a:extLst>
            <a:ext uri="{FF2B5EF4-FFF2-40B4-BE49-F238E27FC236}">
              <a16:creationId xmlns:a16="http://schemas.microsoft.com/office/drawing/2014/main" id="{52B32C43-9202-47F9-A7A7-8CB4CDAFCC58}"/>
            </a:ext>
          </a:extLst>
        </xdr:cNvPr>
        <xdr:cNvSpPr/>
      </xdr:nvSpPr>
      <xdr:spPr>
        <a:xfrm>
          <a:off x="238124" y="914400"/>
          <a:ext cx="1657351" cy="447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4DCBCB2-D2B5-421C-92CB-EADCCEAB8AFF}" type="TxLink">
            <a:rPr lang="en-US" sz="1800" b="1" i="0" u="none" strike="noStrike">
              <a:solidFill>
                <a:srgbClr val="EC255A"/>
              </a:solidFill>
              <a:latin typeface="Calibri"/>
              <a:cs typeface="Calibri"/>
            </a:rPr>
            <a:pPr algn="ctr"/>
            <a:t>R973 827</a:t>
          </a:fld>
          <a:endParaRPr lang="en-ZA" sz="1800" b="1">
            <a:solidFill>
              <a:srgbClr val="EC255A"/>
            </a:solidFill>
          </a:endParaRPr>
        </a:p>
      </xdr:txBody>
    </xdr:sp>
    <xdr:clientData/>
  </xdr:twoCellAnchor>
  <xdr:twoCellAnchor>
    <xdr:from>
      <xdr:col>2</xdr:col>
      <xdr:colOff>466724</xdr:colOff>
      <xdr:row>4</xdr:row>
      <xdr:rowOff>152400</xdr:rowOff>
    </xdr:from>
    <xdr:to>
      <xdr:col>4</xdr:col>
      <xdr:colOff>533399</xdr:colOff>
      <xdr:row>7</xdr:row>
      <xdr:rowOff>28575</xdr:rowOff>
    </xdr:to>
    <xdr:sp macro="" textlink="Sheet2!H19">
      <xdr:nvSpPr>
        <xdr:cNvPr id="29" name="Rectangle 28">
          <a:extLst>
            <a:ext uri="{FF2B5EF4-FFF2-40B4-BE49-F238E27FC236}">
              <a16:creationId xmlns:a16="http://schemas.microsoft.com/office/drawing/2014/main" id="{06B0207C-7087-4DE9-B665-4C153BDEE401}"/>
            </a:ext>
          </a:extLst>
        </xdr:cNvPr>
        <xdr:cNvSpPr/>
      </xdr:nvSpPr>
      <xdr:spPr>
        <a:xfrm>
          <a:off x="1685924" y="914400"/>
          <a:ext cx="1285875" cy="447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8C09D6E-A7FB-4D66-8C7B-296DB1014892}" type="TxLink">
            <a:rPr lang="en-US" sz="1800" b="1" i="0" u="none" strike="noStrike">
              <a:solidFill>
                <a:srgbClr val="EC255A"/>
              </a:solidFill>
              <a:latin typeface="Calibri"/>
              <a:ea typeface="+mn-ea"/>
              <a:cs typeface="Calibri"/>
            </a:rPr>
            <a:pPr marL="0" indent="0" algn="ctr"/>
            <a:t>R219 522</a:t>
          </a:fld>
          <a:endParaRPr lang="en-ZA" sz="1800" b="1" i="0" u="none" strike="noStrike">
            <a:solidFill>
              <a:srgbClr val="EC255A"/>
            </a:solidFill>
            <a:latin typeface="Calibri"/>
            <a:ea typeface="+mn-ea"/>
            <a:cs typeface="Calibri"/>
          </a:endParaRPr>
        </a:p>
      </xdr:txBody>
    </xdr:sp>
    <xdr:clientData/>
  </xdr:twoCellAnchor>
  <xdr:twoCellAnchor>
    <xdr:from>
      <xdr:col>0</xdr:col>
      <xdr:colOff>504824</xdr:colOff>
      <xdr:row>4</xdr:row>
      <xdr:rowOff>47625</xdr:rowOff>
    </xdr:from>
    <xdr:to>
      <xdr:col>2</xdr:col>
      <xdr:colOff>571499</xdr:colOff>
      <xdr:row>6</xdr:row>
      <xdr:rowOff>114300</xdr:rowOff>
    </xdr:to>
    <xdr:sp macro="" textlink="">
      <xdr:nvSpPr>
        <xdr:cNvPr id="30" name="Rectangle 29">
          <a:extLst>
            <a:ext uri="{FF2B5EF4-FFF2-40B4-BE49-F238E27FC236}">
              <a16:creationId xmlns:a16="http://schemas.microsoft.com/office/drawing/2014/main" id="{275D8D12-7CE6-4BE4-93D0-3299ADBFBAE6}"/>
            </a:ext>
          </a:extLst>
        </xdr:cNvPr>
        <xdr:cNvSpPr/>
      </xdr:nvSpPr>
      <xdr:spPr>
        <a:xfrm>
          <a:off x="504824" y="809625"/>
          <a:ext cx="1285875" cy="447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EC255A"/>
              </a:solidFill>
              <a:latin typeface="Calibri"/>
              <a:cs typeface="Calibri"/>
            </a:rPr>
            <a:t> </a:t>
          </a:r>
        </a:p>
      </xdr:txBody>
    </xdr:sp>
    <xdr:clientData/>
  </xdr:twoCellAnchor>
  <xdr:twoCellAnchor>
    <xdr:from>
      <xdr:col>0</xdr:col>
      <xdr:colOff>571501</xdr:colOff>
      <xdr:row>7</xdr:row>
      <xdr:rowOff>19050</xdr:rowOff>
    </xdr:from>
    <xdr:to>
      <xdr:col>2</xdr:col>
      <xdr:colOff>381001</xdr:colOff>
      <xdr:row>8</xdr:row>
      <xdr:rowOff>114300</xdr:rowOff>
    </xdr:to>
    <xdr:sp macro="" textlink="">
      <xdr:nvSpPr>
        <xdr:cNvPr id="9" name="TextBox 8">
          <a:extLst>
            <a:ext uri="{FF2B5EF4-FFF2-40B4-BE49-F238E27FC236}">
              <a16:creationId xmlns:a16="http://schemas.microsoft.com/office/drawing/2014/main" id="{B772964E-B96C-4080-895D-A020CCEB8F85}"/>
            </a:ext>
          </a:extLst>
        </xdr:cNvPr>
        <xdr:cNvSpPr txBox="1"/>
      </xdr:nvSpPr>
      <xdr:spPr>
        <a:xfrm>
          <a:off x="571501" y="1352550"/>
          <a:ext cx="10287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cs typeface="Arabic Typesetting" panose="020B0604020202020204" pitchFamily="66" charset="-78"/>
            </a:rPr>
            <a:t>REVENUE</a:t>
          </a:r>
        </a:p>
      </xdr:txBody>
    </xdr:sp>
    <xdr:clientData/>
  </xdr:twoCellAnchor>
  <xdr:twoCellAnchor>
    <xdr:from>
      <xdr:col>3</xdr:col>
      <xdr:colOff>28575</xdr:colOff>
      <xdr:row>7</xdr:row>
      <xdr:rowOff>47625</xdr:rowOff>
    </xdr:from>
    <xdr:to>
      <xdr:col>4</xdr:col>
      <xdr:colOff>352425</xdr:colOff>
      <xdr:row>8</xdr:row>
      <xdr:rowOff>114300</xdr:rowOff>
    </xdr:to>
    <xdr:sp macro="" textlink="">
      <xdr:nvSpPr>
        <xdr:cNvPr id="13" name="TextBox 12">
          <a:extLst>
            <a:ext uri="{FF2B5EF4-FFF2-40B4-BE49-F238E27FC236}">
              <a16:creationId xmlns:a16="http://schemas.microsoft.com/office/drawing/2014/main" id="{99244172-F8F3-4545-9FF8-B08047F66727}"/>
            </a:ext>
          </a:extLst>
        </xdr:cNvPr>
        <xdr:cNvSpPr txBox="1"/>
      </xdr:nvSpPr>
      <xdr:spPr>
        <a:xfrm>
          <a:off x="1857375" y="1381125"/>
          <a:ext cx="9334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DISCOUNT</a:t>
          </a:r>
        </a:p>
        <a:p>
          <a:pPr algn="r"/>
          <a:endParaRPr lang="en-ZA" sz="1100"/>
        </a:p>
      </xdr:txBody>
    </xdr:sp>
    <xdr:clientData/>
  </xdr:twoCellAnchor>
  <xdr:twoCellAnchor>
    <xdr:from>
      <xdr:col>2</xdr:col>
      <xdr:colOff>485775</xdr:colOff>
      <xdr:row>4</xdr:row>
      <xdr:rowOff>180975</xdr:rowOff>
    </xdr:from>
    <xdr:to>
      <xdr:col>2</xdr:col>
      <xdr:colOff>504824</xdr:colOff>
      <xdr:row>12</xdr:row>
      <xdr:rowOff>0</xdr:rowOff>
    </xdr:to>
    <xdr:cxnSp macro="">
      <xdr:nvCxnSpPr>
        <xdr:cNvPr id="32" name="Straight Connector 31">
          <a:extLst>
            <a:ext uri="{FF2B5EF4-FFF2-40B4-BE49-F238E27FC236}">
              <a16:creationId xmlns:a16="http://schemas.microsoft.com/office/drawing/2014/main" id="{7FB301B2-2C59-480C-97C8-7B6F2ACE2FE4}"/>
            </a:ext>
          </a:extLst>
        </xdr:cNvPr>
        <xdr:cNvCxnSpPr/>
      </xdr:nvCxnSpPr>
      <xdr:spPr>
        <a:xfrm flipH="1">
          <a:off x="1704975" y="942975"/>
          <a:ext cx="19049" cy="1343025"/>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485775</xdr:colOff>
      <xdr:row>4</xdr:row>
      <xdr:rowOff>171450</xdr:rowOff>
    </xdr:from>
    <xdr:to>
      <xdr:col>4</xdr:col>
      <xdr:colOff>504824</xdr:colOff>
      <xdr:row>11</xdr:row>
      <xdr:rowOff>180975</xdr:rowOff>
    </xdr:to>
    <xdr:cxnSp macro="">
      <xdr:nvCxnSpPr>
        <xdr:cNvPr id="35" name="Straight Connector 34">
          <a:extLst>
            <a:ext uri="{FF2B5EF4-FFF2-40B4-BE49-F238E27FC236}">
              <a16:creationId xmlns:a16="http://schemas.microsoft.com/office/drawing/2014/main" id="{CCE1DA5C-2634-4CE4-8137-7C2E148BE9F5}"/>
            </a:ext>
          </a:extLst>
        </xdr:cNvPr>
        <xdr:cNvCxnSpPr/>
      </xdr:nvCxnSpPr>
      <xdr:spPr>
        <a:xfrm flipH="1">
          <a:off x="2924175" y="933450"/>
          <a:ext cx="19049" cy="1343025"/>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171450</xdr:colOff>
      <xdr:row>8</xdr:row>
      <xdr:rowOff>180975</xdr:rowOff>
    </xdr:from>
    <xdr:to>
      <xdr:col>6</xdr:col>
      <xdr:colOff>238125</xdr:colOff>
      <xdr:row>12</xdr:row>
      <xdr:rowOff>95250</xdr:rowOff>
    </xdr:to>
    <xdr:pic>
      <xdr:nvPicPr>
        <xdr:cNvPr id="37" name="Graphic 36" descr="Presentation with bar chart with solid fill">
          <a:extLst>
            <a:ext uri="{FF2B5EF4-FFF2-40B4-BE49-F238E27FC236}">
              <a16:creationId xmlns:a16="http://schemas.microsoft.com/office/drawing/2014/main" id="{BCB14851-20CF-49C8-95F5-1CCDFAC053E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219450" y="1704975"/>
          <a:ext cx="676275" cy="676275"/>
        </a:xfrm>
        <a:prstGeom prst="rect">
          <a:avLst/>
        </a:prstGeom>
      </xdr:spPr>
    </xdr:pic>
    <xdr:clientData/>
  </xdr:twoCellAnchor>
  <xdr:twoCellAnchor>
    <xdr:from>
      <xdr:col>5</xdr:col>
      <xdr:colOff>66675</xdr:colOff>
      <xdr:row>7</xdr:row>
      <xdr:rowOff>57150</xdr:rowOff>
    </xdr:from>
    <xdr:to>
      <xdr:col>6</xdr:col>
      <xdr:colOff>381000</xdr:colOff>
      <xdr:row>8</xdr:row>
      <xdr:rowOff>133350</xdr:rowOff>
    </xdr:to>
    <xdr:sp macro="" textlink="">
      <xdr:nvSpPr>
        <xdr:cNvPr id="38" name="TextBox 37">
          <a:extLst>
            <a:ext uri="{FF2B5EF4-FFF2-40B4-BE49-F238E27FC236}">
              <a16:creationId xmlns:a16="http://schemas.microsoft.com/office/drawing/2014/main" id="{32001450-4CD8-48CE-802B-930A501E4F5C}"/>
            </a:ext>
          </a:extLst>
        </xdr:cNvPr>
        <xdr:cNvSpPr txBox="1"/>
      </xdr:nvSpPr>
      <xdr:spPr>
        <a:xfrm>
          <a:off x="3114675" y="1390650"/>
          <a:ext cx="9239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DISCOUNT </a:t>
          </a:r>
          <a:r>
            <a:rPr lang="en-ZA" sz="1100">
              <a:solidFill>
                <a:schemeClr val="accent1">
                  <a:lumMod val="40000"/>
                  <a:lumOff val="60000"/>
                </a:schemeClr>
              </a:solidFill>
            </a:rPr>
            <a:t>%</a:t>
          </a:r>
        </a:p>
      </xdr:txBody>
    </xdr:sp>
    <xdr:clientData/>
  </xdr:twoCellAnchor>
  <xdr:twoCellAnchor>
    <xdr:from>
      <xdr:col>4</xdr:col>
      <xdr:colOff>504824</xdr:colOff>
      <xdr:row>4</xdr:row>
      <xdr:rowOff>152400</xdr:rowOff>
    </xdr:from>
    <xdr:to>
      <xdr:col>6</xdr:col>
      <xdr:colOff>571499</xdr:colOff>
      <xdr:row>7</xdr:row>
      <xdr:rowOff>28575</xdr:rowOff>
    </xdr:to>
    <xdr:sp macro="" textlink="Sheet2!H21">
      <xdr:nvSpPr>
        <xdr:cNvPr id="39" name="Rectangle 38">
          <a:extLst>
            <a:ext uri="{FF2B5EF4-FFF2-40B4-BE49-F238E27FC236}">
              <a16:creationId xmlns:a16="http://schemas.microsoft.com/office/drawing/2014/main" id="{41CA426C-68A6-4C3D-B7AF-CAFF50BC825F}"/>
            </a:ext>
          </a:extLst>
        </xdr:cNvPr>
        <xdr:cNvSpPr/>
      </xdr:nvSpPr>
      <xdr:spPr>
        <a:xfrm>
          <a:off x="2943224" y="914400"/>
          <a:ext cx="1285875" cy="447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4157140-DF3D-4231-AA54-4AE29C336780}" type="TxLink">
            <a:rPr lang="en-US" sz="1800" b="1" i="0" u="none" strike="noStrike">
              <a:solidFill>
                <a:srgbClr val="EC255A"/>
              </a:solidFill>
              <a:latin typeface="Calibri"/>
              <a:ea typeface="+mn-ea"/>
              <a:cs typeface="Calibri"/>
            </a:rPr>
            <a:pPr marL="0" indent="0" algn="ctr"/>
            <a:t>23%</a:t>
          </a:fld>
          <a:endParaRPr lang="en-ZA" sz="1800" b="1" i="0" u="none" strike="noStrike">
            <a:solidFill>
              <a:srgbClr val="EC255A"/>
            </a:solidFill>
            <a:latin typeface="Calibri"/>
            <a:ea typeface="+mn-ea"/>
            <a:cs typeface="Calibri"/>
          </a:endParaRPr>
        </a:p>
      </xdr:txBody>
    </xdr:sp>
    <xdr:clientData/>
  </xdr:twoCellAnchor>
  <xdr:twoCellAnchor>
    <xdr:from>
      <xdr:col>8</xdr:col>
      <xdr:colOff>133350</xdr:colOff>
      <xdr:row>13</xdr:row>
      <xdr:rowOff>114300</xdr:rowOff>
    </xdr:from>
    <xdr:to>
      <xdr:col>9</xdr:col>
      <xdr:colOff>581025</xdr:colOff>
      <xdr:row>16</xdr:row>
      <xdr:rowOff>57150</xdr:rowOff>
    </xdr:to>
    <xdr:sp macro="" textlink="Sheet2!H23">
      <xdr:nvSpPr>
        <xdr:cNvPr id="3" name="TextBox 2">
          <a:extLst>
            <a:ext uri="{FF2B5EF4-FFF2-40B4-BE49-F238E27FC236}">
              <a16:creationId xmlns:a16="http://schemas.microsoft.com/office/drawing/2014/main" id="{6785567D-42C7-4012-829A-F4EAB52EC17F}"/>
            </a:ext>
          </a:extLst>
        </xdr:cNvPr>
        <xdr:cNvSpPr txBox="1"/>
      </xdr:nvSpPr>
      <xdr:spPr>
        <a:xfrm>
          <a:off x="5010150" y="2590800"/>
          <a:ext cx="105727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F1B079-97A9-439A-90B1-8BE7B0466E68}" type="TxLink">
            <a:rPr lang="en-US" sz="2800" b="1" i="0" u="none" strike="noStrike">
              <a:solidFill>
                <a:srgbClr val="EC255A"/>
              </a:solidFill>
              <a:latin typeface="Calibri"/>
              <a:cs typeface="Calibri"/>
            </a:rPr>
            <a:pPr algn="ctr"/>
            <a:t>500</a:t>
          </a:fld>
          <a:endParaRPr lang="en-ZA" sz="2800" b="1" i="0">
            <a:solidFill>
              <a:srgbClr val="EC255A"/>
            </a:solidFill>
          </a:endParaRPr>
        </a:p>
      </xdr:txBody>
    </xdr:sp>
    <xdr:clientData/>
  </xdr:twoCellAnchor>
  <xdr:twoCellAnchor>
    <xdr:from>
      <xdr:col>8</xdr:col>
      <xdr:colOff>228600</xdr:colOff>
      <xdr:row>12</xdr:row>
      <xdr:rowOff>76199</xdr:rowOff>
    </xdr:from>
    <xdr:to>
      <xdr:col>11</xdr:col>
      <xdr:colOff>0</xdr:colOff>
      <xdr:row>13</xdr:row>
      <xdr:rowOff>123824</xdr:rowOff>
    </xdr:to>
    <xdr:sp macro="" textlink="">
      <xdr:nvSpPr>
        <xdr:cNvPr id="15" name="TextBox 14">
          <a:extLst>
            <a:ext uri="{FF2B5EF4-FFF2-40B4-BE49-F238E27FC236}">
              <a16:creationId xmlns:a16="http://schemas.microsoft.com/office/drawing/2014/main" id="{6B24EB38-8D67-4460-A2BA-A33DDC1BE266}"/>
            </a:ext>
          </a:extLst>
        </xdr:cNvPr>
        <xdr:cNvSpPr txBox="1"/>
      </xdr:nvSpPr>
      <xdr:spPr>
        <a:xfrm>
          <a:off x="5105400" y="2362199"/>
          <a:ext cx="16002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TOTAL TRANSACTIONS</a:t>
          </a:r>
        </a:p>
      </xdr:txBody>
    </xdr:sp>
    <xdr:clientData/>
  </xdr:twoCellAnchor>
  <xdr:twoCellAnchor>
    <xdr:from>
      <xdr:col>8</xdr:col>
      <xdr:colOff>400050</xdr:colOff>
      <xdr:row>13</xdr:row>
      <xdr:rowOff>123825</xdr:rowOff>
    </xdr:from>
    <xdr:to>
      <xdr:col>11</xdr:col>
      <xdr:colOff>123825</xdr:colOff>
      <xdr:row>13</xdr:row>
      <xdr:rowOff>133350</xdr:rowOff>
    </xdr:to>
    <xdr:cxnSp macro="">
      <xdr:nvCxnSpPr>
        <xdr:cNvPr id="18" name="Straight Connector 17">
          <a:extLst>
            <a:ext uri="{FF2B5EF4-FFF2-40B4-BE49-F238E27FC236}">
              <a16:creationId xmlns:a16="http://schemas.microsoft.com/office/drawing/2014/main" id="{842696EE-B7BB-4B12-87F3-88A9A28DFB3F}"/>
            </a:ext>
          </a:extLst>
        </xdr:cNvPr>
        <xdr:cNvCxnSpPr/>
      </xdr:nvCxnSpPr>
      <xdr:spPr>
        <a:xfrm flipV="1">
          <a:off x="5276850" y="2600325"/>
          <a:ext cx="1552575" cy="9525"/>
        </a:xfrm>
        <a:prstGeom prst="line">
          <a:avLst/>
        </a:prstGeom>
        <a:ln w="28575">
          <a:gradFill>
            <a:gsLst>
              <a:gs pos="40000">
                <a:srgbClr val="EC255A"/>
              </a:gs>
              <a:gs pos="85000">
                <a:srgbClr val="00B0F0"/>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123825</xdr:colOff>
      <xdr:row>19</xdr:row>
      <xdr:rowOff>9525</xdr:rowOff>
    </xdr:from>
    <xdr:to>
      <xdr:col>9</xdr:col>
      <xdr:colOff>571500</xdr:colOff>
      <xdr:row>21</xdr:row>
      <xdr:rowOff>142875</xdr:rowOff>
    </xdr:to>
    <xdr:sp macro="" textlink="Sheet2!H25">
      <xdr:nvSpPr>
        <xdr:cNvPr id="40" name="TextBox 39">
          <a:extLst>
            <a:ext uri="{FF2B5EF4-FFF2-40B4-BE49-F238E27FC236}">
              <a16:creationId xmlns:a16="http://schemas.microsoft.com/office/drawing/2014/main" id="{66D609F4-D758-49E9-9C5D-ADDC30C374DE}"/>
            </a:ext>
          </a:extLst>
        </xdr:cNvPr>
        <xdr:cNvSpPr txBox="1"/>
      </xdr:nvSpPr>
      <xdr:spPr>
        <a:xfrm>
          <a:off x="5000625" y="3629025"/>
          <a:ext cx="105727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1841D8-A48D-40A8-B0B9-839DED4E80C1}" type="TxLink">
            <a:rPr lang="en-US" sz="2800" b="1" i="0" u="none" strike="noStrike">
              <a:solidFill>
                <a:srgbClr val="EC255A"/>
              </a:solidFill>
              <a:latin typeface="Calibri"/>
              <a:ea typeface="+mn-ea"/>
              <a:cs typeface="Calibri"/>
            </a:rPr>
            <a:pPr marL="0" indent="0" algn="ctr"/>
            <a:t>41</a:t>
          </a:fld>
          <a:endParaRPr lang="en-ZA" sz="2800" b="1" i="0" u="none" strike="noStrike">
            <a:solidFill>
              <a:srgbClr val="EC255A"/>
            </a:solidFill>
            <a:latin typeface="Calibri"/>
            <a:ea typeface="+mn-ea"/>
            <a:cs typeface="Calibri"/>
          </a:endParaRPr>
        </a:p>
      </xdr:txBody>
    </xdr:sp>
    <xdr:clientData/>
  </xdr:twoCellAnchor>
  <xdr:twoCellAnchor>
    <xdr:from>
      <xdr:col>8</xdr:col>
      <xdr:colOff>219074</xdr:colOff>
      <xdr:row>17</xdr:row>
      <xdr:rowOff>161924</xdr:rowOff>
    </xdr:from>
    <xdr:to>
      <xdr:col>11</xdr:col>
      <xdr:colOff>114299</xdr:colOff>
      <xdr:row>19</xdr:row>
      <xdr:rowOff>19049</xdr:rowOff>
    </xdr:to>
    <xdr:sp macro="" textlink="">
      <xdr:nvSpPr>
        <xdr:cNvPr id="41" name="TextBox 40">
          <a:extLst>
            <a:ext uri="{FF2B5EF4-FFF2-40B4-BE49-F238E27FC236}">
              <a16:creationId xmlns:a16="http://schemas.microsoft.com/office/drawing/2014/main" id="{A126FC7D-5740-4684-B8BB-BA5EFDEFFD8B}"/>
            </a:ext>
          </a:extLst>
        </xdr:cNvPr>
        <xdr:cNvSpPr txBox="1"/>
      </xdr:nvSpPr>
      <xdr:spPr>
        <a:xfrm>
          <a:off x="5095874" y="3400424"/>
          <a:ext cx="17240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MONTHLY TRANSACTIONS</a:t>
          </a:r>
        </a:p>
      </xdr:txBody>
    </xdr:sp>
    <xdr:clientData/>
  </xdr:twoCellAnchor>
  <xdr:twoCellAnchor>
    <xdr:from>
      <xdr:col>8</xdr:col>
      <xdr:colOff>352425</xdr:colOff>
      <xdr:row>19</xdr:row>
      <xdr:rowOff>0</xdr:rowOff>
    </xdr:from>
    <xdr:to>
      <xdr:col>11</xdr:col>
      <xdr:colOff>76200</xdr:colOff>
      <xdr:row>19</xdr:row>
      <xdr:rowOff>9525</xdr:rowOff>
    </xdr:to>
    <xdr:cxnSp macro="">
      <xdr:nvCxnSpPr>
        <xdr:cNvPr id="42" name="Straight Connector 41">
          <a:extLst>
            <a:ext uri="{FF2B5EF4-FFF2-40B4-BE49-F238E27FC236}">
              <a16:creationId xmlns:a16="http://schemas.microsoft.com/office/drawing/2014/main" id="{4E70BBF5-2980-4F29-BD8C-62BE8415496A}"/>
            </a:ext>
          </a:extLst>
        </xdr:cNvPr>
        <xdr:cNvCxnSpPr/>
      </xdr:nvCxnSpPr>
      <xdr:spPr>
        <a:xfrm flipV="1">
          <a:off x="5229225" y="3619500"/>
          <a:ext cx="1552575" cy="9525"/>
        </a:xfrm>
        <a:prstGeom prst="line">
          <a:avLst/>
        </a:prstGeom>
        <a:ln w="28575">
          <a:gradFill>
            <a:gsLst>
              <a:gs pos="35000">
                <a:srgbClr val="EC255A"/>
              </a:gs>
              <a:gs pos="100000">
                <a:srgbClr val="00B0F0"/>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333376</xdr:colOff>
      <xdr:row>13</xdr:row>
      <xdr:rowOff>161926</xdr:rowOff>
    </xdr:from>
    <xdr:to>
      <xdr:col>12</xdr:col>
      <xdr:colOff>219076</xdr:colOff>
      <xdr:row>16</xdr:row>
      <xdr:rowOff>85726</xdr:rowOff>
    </xdr:to>
    <xdr:pic>
      <xdr:nvPicPr>
        <xdr:cNvPr id="36" name="Graphic 35" descr="Tally with solid fill">
          <a:extLst>
            <a:ext uri="{FF2B5EF4-FFF2-40B4-BE49-F238E27FC236}">
              <a16:creationId xmlns:a16="http://schemas.microsoft.com/office/drawing/2014/main" id="{ED2CFB9C-1938-4167-9FA5-EEE52F61E84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038976" y="2638426"/>
          <a:ext cx="495300" cy="495300"/>
        </a:xfrm>
        <a:prstGeom prst="rect">
          <a:avLst/>
        </a:prstGeom>
      </xdr:spPr>
    </xdr:pic>
    <xdr:clientData/>
  </xdr:twoCellAnchor>
  <xdr:twoCellAnchor editAs="oneCell">
    <xdr:from>
      <xdr:col>11</xdr:col>
      <xdr:colOff>304800</xdr:colOff>
      <xdr:row>19</xdr:row>
      <xdr:rowOff>85725</xdr:rowOff>
    </xdr:from>
    <xdr:to>
      <xdr:col>12</xdr:col>
      <xdr:colOff>200026</xdr:colOff>
      <xdr:row>22</xdr:row>
      <xdr:rowOff>19051</xdr:rowOff>
    </xdr:to>
    <xdr:pic>
      <xdr:nvPicPr>
        <xdr:cNvPr id="44" name="Graphic 43" descr="Upward trend with solid fill">
          <a:extLst>
            <a:ext uri="{FF2B5EF4-FFF2-40B4-BE49-F238E27FC236}">
              <a16:creationId xmlns:a16="http://schemas.microsoft.com/office/drawing/2014/main" id="{2E3AF402-F1B4-41E1-B385-6D5166201C6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010400" y="3705225"/>
          <a:ext cx="504826" cy="504826"/>
        </a:xfrm>
        <a:prstGeom prst="rect">
          <a:avLst/>
        </a:prstGeom>
      </xdr:spPr>
    </xdr:pic>
    <xdr:clientData/>
  </xdr:twoCellAnchor>
  <xdr:twoCellAnchor editAs="oneCell">
    <xdr:from>
      <xdr:col>6</xdr:col>
      <xdr:colOff>504825</xdr:colOff>
      <xdr:row>13</xdr:row>
      <xdr:rowOff>133350</xdr:rowOff>
    </xdr:from>
    <xdr:to>
      <xdr:col>7</xdr:col>
      <xdr:colOff>438150</xdr:colOff>
      <xdr:row>16</xdr:row>
      <xdr:rowOff>104775</xdr:rowOff>
    </xdr:to>
    <xdr:pic>
      <xdr:nvPicPr>
        <xdr:cNvPr id="46" name="Graphic 45" descr="Daily calendar with solid fill">
          <a:extLst>
            <a:ext uri="{FF2B5EF4-FFF2-40B4-BE49-F238E27FC236}">
              <a16:creationId xmlns:a16="http://schemas.microsoft.com/office/drawing/2014/main" id="{D86767A1-97ED-4769-821E-D87544A745B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162425" y="2609850"/>
          <a:ext cx="542925" cy="542925"/>
        </a:xfrm>
        <a:prstGeom prst="rect">
          <a:avLst/>
        </a:prstGeom>
      </xdr:spPr>
    </xdr:pic>
    <xdr:clientData/>
  </xdr:twoCellAnchor>
  <xdr:twoCellAnchor>
    <xdr:from>
      <xdr:col>1</xdr:col>
      <xdr:colOff>114300</xdr:colOff>
      <xdr:row>17</xdr:row>
      <xdr:rowOff>0</xdr:rowOff>
    </xdr:from>
    <xdr:to>
      <xdr:col>6</xdr:col>
      <xdr:colOff>133350</xdr:colOff>
      <xdr:row>17</xdr:row>
      <xdr:rowOff>0</xdr:rowOff>
    </xdr:to>
    <xdr:cxnSp macro="">
      <xdr:nvCxnSpPr>
        <xdr:cNvPr id="47" name="Straight Connector 46">
          <a:extLst>
            <a:ext uri="{FF2B5EF4-FFF2-40B4-BE49-F238E27FC236}">
              <a16:creationId xmlns:a16="http://schemas.microsoft.com/office/drawing/2014/main" id="{314AA0FD-F6EC-4D8A-A187-CC4D10D6578A}"/>
            </a:ext>
          </a:extLst>
        </xdr:cNvPr>
        <xdr:cNvCxnSpPr/>
      </xdr:nvCxnSpPr>
      <xdr:spPr>
        <a:xfrm>
          <a:off x="723900" y="3238500"/>
          <a:ext cx="3067050" cy="0"/>
        </a:xfrm>
        <a:prstGeom prst="line">
          <a:avLst/>
        </a:prstGeom>
        <a:ln w="28575">
          <a:gradFill>
            <a:gsLst>
              <a:gs pos="61000">
                <a:srgbClr val="EC255A"/>
              </a:gs>
              <a:gs pos="1000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3</xdr:row>
      <xdr:rowOff>57150</xdr:rowOff>
    </xdr:from>
    <xdr:to>
      <xdr:col>9</xdr:col>
      <xdr:colOff>457200</xdr:colOff>
      <xdr:row>3</xdr:row>
      <xdr:rowOff>57151</xdr:rowOff>
    </xdr:to>
    <xdr:cxnSp macro="">
      <xdr:nvCxnSpPr>
        <xdr:cNvPr id="52" name="Straight Connector 51">
          <a:extLst>
            <a:ext uri="{FF2B5EF4-FFF2-40B4-BE49-F238E27FC236}">
              <a16:creationId xmlns:a16="http://schemas.microsoft.com/office/drawing/2014/main" id="{92F2CE29-46E3-4CB3-A7A0-1340FB18F42E}"/>
            </a:ext>
          </a:extLst>
        </xdr:cNvPr>
        <xdr:cNvCxnSpPr/>
      </xdr:nvCxnSpPr>
      <xdr:spPr>
        <a:xfrm flipV="1">
          <a:off x="4429125" y="628650"/>
          <a:ext cx="1514475" cy="1"/>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466725</xdr:colOff>
      <xdr:row>3</xdr:row>
      <xdr:rowOff>28575</xdr:rowOff>
    </xdr:from>
    <xdr:to>
      <xdr:col>8</xdr:col>
      <xdr:colOff>533400</xdr:colOff>
      <xdr:row>4</xdr:row>
      <xdr:rowOff>180975</xdr:rowOff>
    </xdr:to>
    <xdr:sp macro="" textlink="Sheet2!H27">
      <xdr:nvSpPr>
        <xdr:cNvPr id="58" name="TextBox 57">
          <a:extLst>
            <a:ext uri="{FF2B5EF4-FFF2-40B4-BE49-F238E27FC236}">
              <a16:creationId xmlns:a16="http://schemas.microsoft.com/office/drawing/2014/main" id="{65D690E5-5928-4A5D-9ADB-B0FC4ACA9C6B}"/>
            </a:ext>
          </a:extLst>
        </xdr:cNvPr>
        <xdr:cNvSpPr txBox="1"/>
      </xdr:nvSpPr>
      <xdr:spPr>
        <a:xfrm>
          <a:off x="4124325" y="600075"/>
          <a:ext cx="12858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3ABADF-9370-44C4-9ABE-F16ECACADF09}" type="TxLink">
            <a:rPr lang="en-US" sz="1800" b="1" i="0" u="none" strike="noStrike">
              <a:ln>
                <a:noFill/>
              </a:ln>
              <a:solidFill>
                <a:srgbClr val="EC255A"/>
              </a:solidFill>
              <a:latin typeface="Calibri"/>
              <a:ea typeface="+mn-ea"/>
              <a:cs typeface="Calibri"/>
            </a:rPr>
            <a:pPr marL="0" indent="0" algn="ctr"/>
            <a:t>R2 811</a:t>
          </a:fld>
          <a:endParaRPr lang="en-US" sz="1800" b="1" i="0" u="none" strike="noStrike">
            <a:ln>
              <a:noFill/>
            </a:ln>
            <a:solidFill>
              <a:srgbClr val="EC255A"/>
            </a:solidFill>
            <a:latin typeface="Calibri"/>
            <a:ea typeface="+mn-ea"/>
            <a:cs typeface="Calibri"/>
          </a:endParaRPr>
        </a:p>
      </xdr:txBody>
    </xdr:sp>
    <xdr:clientData/>
  </xdr:twoCellAnchor>
  <xdr:twoCellAnchor>
    <xdr:from>
      <xdr:col>7</xdr:col>
      <xdr:colOff>38100</xdr:colOff>
      <xdr:row>2</xdr:row>
      <xdr:rowOff>9525</xdr:rowOff>
    </xdr:from>
    <xdr:to>
      <xdr:col>9</xdr:col>
      <xdr:colOff>466725</xdr:colOff>
      <xdr:row>3</xdr:row>
      <xdr:rowOff>161925</xdr:rowOff>
    </xdr:to>
    <xdr:sp macro="" textlink="">
      <xdr:nvSpPr>
        <xdr:cNvPr id="60" name="TextBox 59">
          <a:extLst>
            <a:ext uri="{FF2B5EF4-FFF2-40B4-BE49-F238E27FC236}">
              <a16:creationId xmlns:a16="http://schemas.microsoft.com/office/drawing/2014/main" id="{E38BEAE4-7467-4F84-941F-D5DEB41FCB07}"/>
            </a:ext>
          </a:extLst>
        </xdr:cNvPr>
        <xdr:cNvSpPr txBox="1"/>
      </xdr:nvSpPr>
      <xdr:spPr>
        <a:xfrm>
          <a:off x="4305300" y="390525"/>
          <a:ext cx="16478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 DELIVERY CHARGES</a:t>
          </a:r>
        </a:p>
      </xdr:txBody>
    </xdr:sp>
    <xdr:clientData/>
  </xdr:twoCellAnchor>
  <xdr:twoCellAnchor>
    <xdr:from>
      <xdr:col>7</xdr:col>
      <xdr:colOff>171450</xdr:colOff>
      <xdr:row>6</xdr:row>
      <xdr:rowOff>0</xdr:rowOff>
    </xdr:from>
    <xdr:to>
      <xdr:col>9</xdr:col>
      <xdr:colOff>466725</xdr:colOff>
      <xdr:row>6</xdr:row>
      <xdr:rowOff>1</xdr:rowOff>
    </xdr:to>
    <xdr:cxnSp macro="">
      <xdr:nvCxnSpPr>
        <xdr:cNvPr id="62" name="Straight Connector 61">
          <a:extLst>
            <a:ext uri="{FF2B5EF4-FFF2-40B4-BE49-F238E27FC236}">
              <a16:creationId xmlns:a16="http://schemas.microsoft.com/office/drawing/2014/main" id="{760C209F-0B67-441A-90F5-1CC3530AFDF4}"/>
            </a:ext>
          </a:extLst>
        </xdr:cNvPr>
        <xdr:cNvCxnSpPr/>
      </xdr:nvCxnSpPr>
      <xdr:spPr>
        <a:xfrm flipV="1">
          <a:off x="4438650" y="1143000"/>
          <a:ext cx="1514475" cy="1"/>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457200</xdr:colOff>
      <xdr:row>6</xdr:row>
      <xdr:rowOff>0</xdr:rowOff>
    </xdr:from>
    <xdr:to>
      <xdr:col>8</xdr:col>
      <xdr:colOff>523875</xdr:colOff>
      <xdr:row>7</xdr:row>
      <xdr:rowOff>152400</xdr:rowOff>
    </xdr:to>
    <xdr:sp macro="" textlink="Sheet2!H29">
      <xdr:nvSpPr>
        <xdr:cNvPr id="63" name="TextBox 62">
          <a:extLst>
            <a:ext uri="{FF2B5EF4-FFF2-40B4-BE49-F238E27FC236}">
              <a16:creationId xmlns:a16="http://schemas.microsoft.com/office/drawing/2014/main" id="{DDD98517-11B6-4E2B-AE05-11C90E7F6AEC}"/>
            </a:ext>
          </a:extLst>
        </xdr:cNvPr>
        <xdr:cNvSpPr txBox="1"/>
      </xdr:nvSpPr>
      <xdr:spPr>
        <a:xfrm>
          <a:off x="4114800" y="1143000"/>
          <a:ext cx="12858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E1CDFC-43E6-491F-9C33-5D0134F74085}" type="TxLink">
            <a:rPr lang="en-US" sz="1800" b="1" i="0" u="none" strike="noStrike">
              <a:ln>
                <a:noFill/>
              </a:ln>
              <a:solidFill>
                <a:srgbClr val="EC255A"/>
              </a:solidFill>
              <a:latin typeface="Calibri"/>
              <a:ea typeface="+mn-ea"/>
              <a:cs typeface="Calibri"/>
            </a:rPr>
            <a:pPr marL="0" indent="0" algn="ctr"/>
            <a:t>115,25</a:t>
          </a:fld>
          <a:endParaRPr lang="en-US" sz="1800" b="1" i="0" u="none" strike="noStrike">
            <a:ln>
              <a:noFill/>
            </a:ln>
            <a:solidFill>
              <a:srgbClr val="EC255A"/>
            </a:solidFill>
            <a:latin typeface="Calibri"/>
            <a:ea typeface="+mn-ea"/>
            <a:cs typeface="Calibri"/>
          </a:endParaRPr>
        </a:p>
      </xdr:txBody>
    </xdr:sp>
    <xdr:clientData/>
  </xdr:twoCellAnchor>
  <xdr:twoCellAnchor>
    <xdr:from>
      <xdr:col>7</xdr:col>
      <xdr:colOff>28575</xdr:colOff>
      <xdr:row>4</xdr:row>
      <xdr:rowOff>133350</xdr:rowOff>
    </xdr:from>
    <xdr:to>
      <xdr:col>9</xdr:col>
      <xdr:colOff>457200</xdr:colOff>
      <xdr:row>6</xdr:row>
      <xdr:rowOff>9525</xdr:rowOff>
    </xdr:to>
    <xdr:sp macro="" textlink="">
      <xdr:nvSpPr>
        <xdr:cNvPr id="64" name="TextBox 63">
          <a:extLst>
            <a:ext uri="{FF2B5EF4-FFF2-40B4-BE49-F238E27FC236}">
              <a16:creationId xmlns:a16="http://schemas.microsoft.com/office/drawing/2014/main" id="{41137702-DB47-4C49-9CB5-4D8942F7D859}"/>
            </a:ext>
          </a:extLst>
        </xdr:cNvPr>
        <xdr:cNvSpPr txBox="1"/>
      </xdr:nvSpPr>
      <xdr:spPr>
        <a:xfrm>
          <a:off x="4295775" y="895350"/>
          <a:ext cx="16478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 DELIVERY KM</a:t>
          </a:r>
          <a:r>
            <a:rPr lang="en-ZA" sz="1100" b="0" i="1" cap="none" spc="0" baseline="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 </a:t>
          </a:r>
          <a:endPar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endParaRPr>
        </a:p>
      </xdr:txBody>
    </xdr:sp>
    <xdr:clientData/>
  </xdr:twoCellAnchor>
  <xdr:twoCellAnchor>
    <xdr:from>
      <xdr:col>12</xdr:col>
      <xdr:colOff>571500</xdr:colOff>
      <xdr:row>10</xdr:row>
      <xdr:rowOff>76200</xdr:rowOff>
    </xdr:from>
    <xdr:to>
      <xdr:col>20</xdr:col>
      <xdr:colOff>104775</xdr:colOff>
      <xdr:row>18</xdr:row>
      <xdr:rowOff>142876</xdr:rowOff>
    </xdr:to>
    <xdr:graphicFrame macro="">
      <xdr:nvGraphicFramePr>
        <xdr:cNvPr id="65" name="Chart 64">
          <a:extLst>
            <a:ext uri="{FF2B5EF4-FFF2-40B4-BE49-F238E27FC236}">
              <a16:creationId xmlns:a16="http://schemas.microsoft.com/office/drawing/2014/main" id="{57C8AB81-130B-4F59-B564-058577DE9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581025</xdr:colOff>
      <xdr:row>19</xdr:row>
      <xdr:rowOff>19050</xdr:rowOff>
    </xdr:from>
    <xdr:to>
      <xdr:col>16</xdr:col>
      <xdr:colOff>19050</xdr:colOff>
      <xdr:row>21</xdr:row>
      <xdr:rowOff>47625</xdr:rowOff>
    </xdr:to>
    <xdr:sp macro="" textlink="Sheet2!P18">
      <xdr:nvSpPr>
        <xdr:cNvPr id="66" name="Rectangle 65">
          <a:extLst>
            <a:ext uri="{FF2B5EF4-FFF2-40B4-BE49-F238E27FC236}">
              <a16:creationId xmlns:a16="http://schemas.microsoft.com/office/drawing/2014/main" id="{9ED50E99-41C6-496E-9AA7-E7E461DC1C2E}"/>
            </a:ext>
          </a:extLst>
        </xdr:cNvPr>
        <xdr:cNvSpPr/>
      </xdr:nvSpPr>
      <xdr:spPr>
        <a:xfrm>
          <a:off x="8505825" y="3638550"/>
          <a:ext cx="1266825" cy="409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C9492E43-C00E-44E1-BCCD-75CD2F343236}" type="TxLink">
            <a:rPr lang="en-US" sz="1400" b="1" i="0" u="none" strike="noStrike">
              <a:solidFill>
                <a:srgbClr val="EC255A"/>
              </a:solidFill>
              <a:latin typeface="Calibri"/>
              <a:cs typeface="Calibri"/>
            </a:rPr>
            <a:pPr algn="l"/>
            <a:t>R3 243 804</a:t>
          </a:fld>
          <a:endParaRPr lang="en-ZA" sz="1400" b="1">
            <a:solidFill>
              <a:srgbClr val="EC255A"/>
            </a:solidFill>
          </a:endParaRPr>
        </a:p>
      </xdr:txBody>
    </xdr:sp>
    <xdr:clientData/>
  </xdr:twoCellAnchor>
  <xdr:twoCellAnchor>
    <xdr:from>
      <xdr:col>17</xdr:col>
      <xdr:colOff>28575</xdr:colOff>
      <xdr:row>19</xdr:row>
      <xdr:rowOff>38100</xdr:rowOff>
    </xdr:from>
    <xdr:to>
      <xdr:col>19</xdr:col>
      <xdr:colOff>76200</xdr:colOff>
      <xdr:row>21</xdr:row>
      <xdr:rowOff>66675</xdr:rowOff>
    </xdr:to>
    <xdr:sp macro="" textlink="Sheet2!P19">
      <xdr:nvSpPr>
        <xdr:cNvPr id="67" name="Rectangle 66">
          <a:extLst>
            <a:ext uri="{FF2B5EF4-FFF2-40B4-BE49-F238E27FC236}">
              <a16:creationId xmlns:a16="http://schemas.microsoft.com/office/drawing/2014/main" id="{C3E05AC0-C09C-443F-B664-D936927A5AB6}"/>
            </a:ext>
          </a:extLst>
        </xdr:cNvPr>
        <xdr:cNvSpPr/>
      </xdr:nvSpPr>
      <xdr:spPr>
        <a:xfrm>
          <a:off x="10391775" y="3657600"/>
          <a:ext cx="1266825" cy="409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E87316C-599B-492E-9E3F-CDB4C08C3649}" type="TxLink">
            <a:rPr lang="en-US" sz="1400" b="1" i="0" u="none" strike="noStrike">
              <a:solidFill>
                <a:srgbClr val="EC255A"/>
              </a:solidFill>
              <a:latin typeface="Calibri"/>
              <a:ea typeface="+mn-ea"/>
              <a:cs typeface="Calibri"/>
            </a:rPr>
            <a:pPr marL="0" indent="0" algn="l"/>
            <a:t>R2 475 244</a:t>
          </a:fld>
          <a:endParaRPr lang="en-ZA" sz="1400" b="1" i="0" u="none" strike="noStrike">
            <a:solidFill>
              <a:srgbClr val="EC255A"/>
            </a:solidFill>
            <a:latin typeface="Calibri"/>
            <a:ea typeface="+mn-ea"/>
            <a:cs typeface="Calibri"/>
          </a:endParaRPr>
        </a:p>
      </xdr:txBody>
    </xdr:sp>
    <xdr:clientData/>
  </xdr:twoCellAnchor>
  <xdr:twoCellAnchor>
    <xdr:from>
      <xdr:col>14</xdr:col>
      <xdr:colOff>238125</xdr:colOff>
      <xdr:row>23</xdr:row>
      <xdr:rowOff>133350</xdr:rowOff>
    </xdr:from>
    <xdr:to>
      <xdr:col>16</xdr:col>
      <xdr:colOff>285750</xdr:colOff>
      <xdr:row>25</xdr:row>
      <xdr:rowOff>161925</xdr:rowOff>
    </xdr:to>
    <xdr:sp macro="" textlink="Sheet2!P20">
      <xdr:nvSpPr>
        <xdr:cNvPr id="69" name="Rectangle 68">
          <a:extLst>
            <a:ext uri="{FF2B5EF4-FFF2-40B4-BE49-F238E27FC236}">
              <a16:creationId xmlns:a16="http://schemas.microsoft.com/office/drawing/2014/main" id="{47CDB440-109E-40BE-BFB7-372CBF0CA2AE}"/>
            </a:ext>
          </a:extLst>
        </xdr:cNvPr>
        <xdr:cNvSpPr/>
      </xdr:nvSpPr>
      <xdr:spPr>
        <a:xfrm>
          <a:off x="8772525" y="4514850"/>
          <a:ext cx="1266825" cy="409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8D56EFA-A071-40DC-B393-4343EFC5C70A}" type="TxLink">
            <a:rPr lang="en-US" sz="1400" b="1" i="0" u="none" strike="noStrike">
              <a:solidFill>
                <a:srgbClr val="EC255A"/>
              </a:solidFill>
              <a:latin typeface="Calibri"/>
              <a:ea typeface="+mn-ea"/>
              <a:cs typeface="Calibri"/>
            </a:rPr>
            <a:pPr marL="0" indent="0" algn="l"/>
            <a:t>R3 015 203</a:t>
          </a:fld>
          <a:endParaRPr lang="en-ZA" sz="1400" b="1" i="0" u="none" strike="noStrike">
            <a:solidFill>
              <a:srgbClr val="EC255A"/>
            </a:solidFill>
            <a:latin typeface="Calibri"/>
            <a:ea typeface="+mn-ea"/>
            <a:cs typeface="Calibri"/>
          </a:endParaRPr>
        </a:p>
      </xdr:txBody>
    </xdr:sp>
    <xdr:clientData/>
  </xdr:twoCellAnchor>
  <xdr:twoCellAnchor>
    <xdr:from>
      <xdr:col>17</xdr:col>
      <xdr:colOff>333375</xdr:colOff>
      <xdr:row>23</xdr:row>
      <xdr:rowOff>152400</xdr:rowOff>
    </xdr:from>
    <xdr:to>
      <xdr:col>19</xdr:col>
      <xdr:colOff>381000</xdr:colOff>
      <xdr:row>25</xdr:row>
      <xdr:rowOff>180975</xdr:rowOff>
    </xdr:to>
    <xdr:sp macro="" textlink="Sheet2!P21">
      <xdr:nvSpPr>
        <xdr:cNvPr id="70" name="Rectangle 69">
          <a:extLst>
            <a:ext uri="{FF2B5EF4-FFF2-40B4-BE49-F238E27FC236}">
              <a16:creationId xmlns:a16="http://schemas.microsoft.com/office/drawing/2014/main" id="{116EFD5F-9061-4499-8CA7-98CFD836548C}"/>
            </a:ext>
          </a:extLst>
        </xdr:cNvPr>
        <xdr:cNvSpPr/>
      </xdr:nvSpPr>
      <xdr:spPr>
        <a:xfrm>
          <a:off x="10696575" y="4533900"/>
          <a:ext cx="1266825" cy="409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B5845C99-3B39-45A9-BC8A-FBF9775B98D7}" type="TxLink">
            <a:rPr lang="en-US" sz="1400" b="1" i="0" u="none" strike="noStrike">
              <a:solidFill>
                <a:srgbClr val="EC255A"/>
              </a:solidFill>
              <a:latin typeface="Calibri"/>
              <a:ea typeface="+mn-ea"/>
              <a:cs typeface="Calibri"/>
            </a:rPr>
            <a:pPr marL="0" indent="0" algn="l"/>
            <a:t>R4 026 857</a:t>
          </a:fld>
          <a:endParaRPr lang="en-ZA" sz="1400" b="1" i="0" u="none" strike="noStrike">
            <a:solidFill>
              <a:srgbClr val="EC255A"/>
            </a:solidFill>
            <a:latin typeface="Calibri"/>
            <a:ea typeface="+mn-ea"/>
            <a:cs typeface="Calibri"/>
          </a:endParaRPr>
        </a:p>
      </xdr:txBody>
    </xdr:sp>
    <xdr:clientData/>
  </xdr:twoCellAnchor>
  <xdr:twoCellAnchor>
    <xdr:from>
      <xdr:col>13</xdr:col>
      <xdr:colOff>95250</xdr:colOff>
      <xdr:row>19</xdr:row>
      <xdr:rowOff>95250</xdr:rowOff>
    </xdr:from>
    <xdr:to>
      <xdr:col>19</xdr:col>
      <xdr:colOff>428625</xdr:colOff>
      <xdr:row>26</xdr:row>
      <xdr:rowOff>123825</xdr:rowOff>
    </xdr:to>
    <xdr:grpSp>
      <xdr:nvGrpSpPr>
        <xdr:cNvPr id="90" name="Group 89">
          <a:extLst>
            <a:ext uri="{FF2B5EF4-FFF2-40B4-BE49-F238E27FC236}">
              <a16:creationId xmlns:a16="http://schemas.microsoft.com/office/drawing/2014/main" id="{F4751A8E-A333-49E9-B082-74707DC05456}"/>
            </a:ext>
          </a:extLst>
        </xdr:cNvPr>
        <xdr:cNvGrpSpPr/>
      </xdr:nvGrpSpPr>
      <xdr:grpSpPr>
        <a:xfrm>
          <a:off x="8020050" y="3714750"/>
          <a:ext cx="3990975" cy="1362075"/>
          <a:chOff x="7943850" y="3648075"/>
          <a:chExt cx="3990975" cy="1362075"/>
        </a:xfrm>
      </xdr:grpSpPr>
      <xdr:sp macro="" textlink="">
        <xdr:nvSpPr>
          <xdr:cNvPr id="71" name="Oval 70">
            <a:extLst>
              <a:ext uri="{FF2B5EF4-FFF2-40B4-BE49-F238E27FC236}">
                <a16:creationId xmlns:a16="http://schemas.microsoft.com/office/drawing/2014/main" id="{2B87B5CA-F2CB-486C-9EBC-B947B0766BCD}"/>
              </a:ext>
            </a:extLst>
          </xdr:cNvPr>
          <xdr:cNvSpPr/>
        </xdr:nvSpPr>
        <xdr:spPr>
          <a:xfrm>
            <a:off x="7943850" y="3705225"/>
            <a:ext cx="475200" cy="468000"/>
          </a:xfrm>
          <a:prstGeom prst="ellipse">
            <a:avLst/>
          </a:prstGeom>
          <a:noFill/>
          <a:ln w="76200">
            <a:gradFill>
              <a:gsLst>
                <a:gs pos="0">
                  <a:srgbClr val="EC255A"/>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000" b="1" i="1">
                <a:solidFill>
                  <a:schemeClr val="lt1"/>
                </a:solidFill>
                <a:latin typeface="+mn-lt"/>
                <a:ea typeface="+mn-ea"/>
                <a:cs typeface="+mn-cs"/>
              </a:rPr>
              <a:t>Q1</a:t>
            </a:r>
          </a:p>
        </xdr:txBody>
      </xdr:sp>
      <xdr:sp macro="" textlink="">
        <xdr:nvSpPr>
          <xdr:cNvPr id="72" name="Oval 71">
            <a:extLst>
              <a:ext uri="{FF2B5EF4-FFF2-40B4-BE49-F238E27FC236}">
                <a16:creationId xmlns:a16="http://schemas.microsoft.com/office/drawing/2014/main" id="{A24B75E7-0277-48EB-B87F-5A22759A2D0C}"/>
              </a:ext>
            </a:extLst>
          </xdr:cNvPr>
          <xdr:cNvSpPr/>
        </xdr:nvSpPr>
        <xdr:spPr>
          <a:xfrm>
            <a:off x="9830850" y="3648075"/>
            <a:ext cx="475200" cy="457200"/>
          </a:xfrm>
          <a:prstGeom prst="ellipse">
            <a:avLst/>
          </a:prstGeom>
          <a:noFill/>
          <a:ln w="76200">
            <a:gradFill>
              <a:gsLst>
                <a:gs pos="0">
                  <a:srgbClr val="EC255A"/>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000" b="1" i="1">
                <a:solidFill>
                  <a:schemeClr val="lt1"/>
                </a:solidFill>
                <a:latin typeface="+mn-lt"/>
                <a:ea typeface="+mn-ea"/>
                <a:cs typeface="+mn-cs"/>
              </a:rPr>
              <a:t>Q2</a:t>
            </a:r>
          </a:p>
        </xdr:txBody>
      </xdr:sp>
      <xdr:sp macro="" textlink="">
        <xdr:nvSpPr>
          <xdr:cNvPr id="74" name="Oval 73">
            <a:extLst>
              <a:ext uri="{FF2B5EF4-FFF2-40B4-BE49-F238E27FC236}">
                <a16:creationId xmlns:a16="http://schemas.microsoft.com/office/drawing/2014/main" id="{33AE542C-5626-48BD-B23F-3E9AB6C57688}"/>
              </a:ext>
            </a:extLst>
          </xdr:cNvPr>
          <xdr:cNvSpPr/>
        </xdr:nvSpPr>
        <xdr:spPr>
          <a:xfrm>
            <a:off x="8239125" y="4552950"/>
            <a:ext cx="476250" cy="457200"/>
          </a:xfrm>
          <a:prstGeom prst="ellipse">
            <a:avLst/>
          </a:prstGeom>
          <a:noFill/>
          <a:ln w="76200">
            <a:gradFill>
              <a:gsLst>
                <a:gs pos="0">
                  <a:srgbClr val="EC255A"/>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000" b="1" i="1">
                <a:solidFill>
                  <a:schemeClr val="lt1"/>
                </a:solidFill>
                <a:latin typeface="+mn-lt"/>
                <a:ea typeface="+mn-ea"/>
                <a:cs typeface="+mn-cs"/>
              </a:rPr>
              <a:t>Q3</a:t>
            </a:r>
          </a:p>
        </xdr:txBody>
      </xdr:sp>
      <xdr:sp macro="" textlink="">
        <xdr:nvSpPr>
          <xdr:cNvPr id="75" name="Oval 74">
            <a:extLst>
              <a:ext uri="{FF2B5EF4-FFF2-40B4-BE49-F238E27FC236}">
                <a16:creationId xmlns:a16="http://schemas.microsoft.com/office/drawing/2014/main" id="{88B47EAC-C389-4A37-BBF5-54AE37A83FDB}"/>
              </a:ext>
            </a:extLst>
          </xdr:cNvPr>
          <xdr:cNvSpPr/>
        </xdr:nvSpPr>
        <xdr:spPr>
          <a:xfrm>
            <a:off x="10144125" y="4543425"/>
            <a:ext cx="476250" cy="457200"/>
          </a:xfrm>
          <a:prstGeom prst="ellipse">
            <a:avLst/>
          </a:prstGeom>
          <a:noFill/>
          <a:ln w="76200">
            <a:gradFill>
              <a:gsLst>
                <a:gs pos="0">
                  <a:srgbClr val="EC255A"/>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000" b="1" i="1">
                <a:solidFill>
                  <a:schemeClr val="lt1"/>
                </a:solidFill>
                <a:latin typeface="+mn-lt"/>
                <a:ea typeface="+mn-ea"/>
                <a:cs typeface="+mn-cs"/>
              </a:rPr>
              <a:t>Q4</a:t>
            </a:r>
          </a:p>
        </xdr:txBody>
      </xdr:sp>
      <xdr:cxnSp macro="">
        <xdr:nvCxnSpPr>
          <xdr:cNvPr id="82" name="Straight Connector 81">
            <a:extLst>
              <a:ext uri="{FF2B5EF4-FFF2-40B4-BE49-F238E27FC236}">
                <a16:creationId xmlns:a16="http://schemas.microsoft.com/office/drawing/2014/main" id="{FAC3A765-8FC7-4108-9DFB-684E6BFE1E5B}"/>
              </a:ext>
            </a:extLst>
          </xdr:cNvPr>
          <xdr:cNvCxnSpPr/>
        </xdr:nvCxnSpPr>
        <xdr:spPr>
          <a:xfrm flipH="1">
            <a:off x="8524878" y="3914775"/>
            <a:ext cx="1228722" cy="0"/>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65DF9C5-6F1B-4A84-B073-2A39995A40BA}"/>
              </a:ext>
            </a:extLst>
          </xdr:cNvPr>
          <xdr:cNvCxnSpPr/>
        </xdr:nvCxnSpPr>
        <xdr:spPr>
          <a:xfrm flipH="1">
            <a:off x="10401303" y="3924300"/>
            <a:ext cx="1228722" cy="0"/>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3AE1C6E4-7B4E-4A8A-88EC-E36E3DED31F5}"/>
              </a:ext>
            </a:extLst>
          </xdr:cNvPr>
          <xdr:cNvCxnSpPr/>
        </xdr:nvCxnSpPr>
        <xdr:spPr>
          <a:xfrm flipH="1">
            <a:off x="8801103" y="4781550"/>
            <a:ext cx="1228722" cy="0"/>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35B77EF-468E-466E-9BCC-F1CDD5297E4A}"/>
              </a:ext>
            </a:extLst>
          </xdr:cNvPr>
          <xdr:cNvCxnSpPr/>
        </xdr:nvCxnSpPr>
        <xdr:spPr>
          <a:xfrm flipH="1">
            <a:off x="10706103" y="4781550"/>
            <a:ext cx="1228722" cy="0"/>
          </a:xfrm>
          <a:prstGeom prst="line">
            <a:avLst/>
          </a:prstGeom>
          <a:ln w="28575">
            <a:gradFill>
              <a:gsLst>
                <a:gs pos="73000">
                  <a:srgbClr val="EC255A"/>
                </a:gs>
                <a:gs pos="0">
                  <a:schemeClr val="accent1">
                    <a:lumMod val="30000"/>
                    <a:lumOff val="70000"/>
                  </a:schemeClr>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381000</xdr:colOff>
      <xdr:row>22</xdr:row>
      <xdr:rowOff>180974</xdr:rowOff>
    </xdr:from>
    <xdr:to>
      <xdr:col>7</xdr:col>
      <xdr:colOff>352425</xdr:colOff>
      <xdr:row>29</xdr:row>
      <xdr:rowOff>19049</xdr:rowOff>
    </xdr:to>
    <xdr:graphicFrame macro="">
      <xdr:nvGraphicFramePr>
        <xdr:cNvPr id="61" name="Chart 60">
          <a:extLst>
            <a:ext uri="{FF2B5EF4-FFF2-40B4-BE49-F238E27FC236}">
              <a16:creationId xmlns:a16="http://schemas.microsoft.com/office/drawing/2014/main" id="{9C4CED00-7320-4BEC-B498-E8261D09F9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523875</xdr:colOff>
      <xdr:row>22</xdr:row>
      <xdr:rowOff>76200</xdr:rowOff>
    </xdr:from>
    <xdr:to>
      <xdr:col>3</xdr:col>
      <xdr:colOff>542925</xdr:colOff>
      <xdr:row>23</xdr:row>
      <xdr:rowOff>76200</xdr:rowOff>
    </xdr:to>
    <xdr:sp macro="" textlink="">
      <xdr:nvSpPr>
        <xdr:cNvPr id="2" name="TextBox 1">
          <a:extLst>
            <a:ext uri="{FF2B5EF4-FFF2-40B4-BE49-F238E27FC236}">
              <a16:creationId xmlns:a16="http://schemas.microsoft.com/office/drawing/2014/main" id="{4930D88E-80DC-4DD0-BB07-F2E8419AD19C}"/>
            </a:ext>
          </a:extLst>
        </xdr:cNvPr>
        <xdr:cNvSpPr txBox="1"/>
      </xdr:nvSpPr>
      <xdr:spPr>
        <a:xfrm>
          <a:off x="523875" y="4267200"/>
          <a:ext cx="18478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endParaRPr>
        </a:p>
      </xdr:txBody>
    </xdr:sp>
    <xdr:clientData/>
  </xdr:twoCellAnchor>
  <xdr:twoCellAnchor>
    <xdr:from>
      <xdr:col>1</xdr:col>
      <xdr:colOff>333375</xdr:colOff>
      <xdr:row>24</xdr:row>
      <xdr:rowOff>19050</xdr:rowOff>
    </xdr:from>
    <xdr:to>
      <xdr:col>2</xdr:col>
      <xdr:colOff>409574</xdr:colOff>
      <xdr:row>26</xdr:row>
      <xdr:rowOff>0</xdr:rowOff>
    </xdr:to>
    <xdr:sp macro="" textlink="">
      <xdr:nvSpPr>
        <xdr:cNvPr id="6" name="TextBox 5">
          <a:extLst>
            <a:ext uri="{FF2B5EF4-FFF2-40B4-BE49-F238E27FC236}">
              <a16:creationId xmlns:a16="http://schemas.microsoft.com/office/drawing/2014/main" id="{DE6D0AC3-F5E7-4E93-B9FC-6A64BE2FBA49}"/>
            </a:ext>
          </a:extLst>
        </xdr:cNvPr>
        <xdr:cNvSpPr txBox="1"/>
      </xdr:nvSpPr>
      <xdr:spPr>
        <a:xfrm>
          <a:off x="942975" y="4591050"/>
          <a:ext cx="685799" cy="3619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ZA" sz="1400" b="1" i="0" u="none" strike="noStrike">
            <a:solidFill>
              <a:srgbClr val="EC255A"/>
            </a:solidFill>
            <a:latin typeface="Calibri"/>
            <a:ea typeface="+mn-ea"/>
            <a:cs typeface="Calibri"/>
          </a:endParaRPr>
        </a:p>
      </xdr:txBody>
    </xdr:sp>
    <xdr:clientData/>
  </xdr:twoCellAnchor>
  <xdr:twoCellAnchor>
    <xdr:from>
      <xdr:col>3</xdr:col>
      <xdr:colOff>361950</xdr:colOff>
      <xdr:row>23</xdr:row>
      <xdr:rowOff>114299</xdr:rowOff>
    </xdr:from>
    <xdr:to>
      <xdr:col>4</xdr:col>
      <xdr:colOff>457200</xdr:colOff>
      <xdr:row>25</xdr:row>
      <xdr:rowOff>161924</xdr:rowOff>
    </xdr:to>
    <xdr:sp macro="" textlink="">
      <xdr:nvSpPr>
        <xdr:cNvPr id="14" name="Rectangle 13">
          <a:extLst>
            <a:ext uri="{FF2B5EF4-FFF2-40B4-BE49-F238E27FC236}">
              <a16:creationId xmlns:a16="http://schemas.microsoft.com/office/drawing/2014/main" id="{2B1F23FE-4FF0-4509-9689-1A4C836CB0A3}"/>
            </a:ext>
          </a:extLst>
        </xdr:cNvPr>
        <xdr:cNvSpPr/>
      </xdr:nvSpPr>
      <xdr:spPr>
        <a:xfrm>
          <a:off x="2190750" y="4495799"/>
          <a:ext cx="704850"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ZA" sz="1400" b="1" i="0" u="none" strike="noStrike">
            <a:solidFill>
              <a:srgbClr val="EC255A"/>
            </a:solidFill>
            <a:latin typeface="Calibri"/>
            <a:ea typeface="+mn-ea"/>
            <a:cs typeface="Calibri"/>
          </a:endParaRPr>
        </a:p>
      </xdr:txBody>
    </xdr:sp>
    <xdr:clientData/>
  </xdr:twoCellAnchor>
  <xdr:twoCellAnchor>
    <xdr:from>
      <xdr:col>5</xdr:col>
      <xdr:colOff>476250</xdr:colOff>
      <xdr:row>22</xdr:row>
      <xdr:rowOff>85725</xdr:rowOff>
    </xdr:from>
    <xdr:to>
      <xdr:col>6</xdr:col>
      <xdr:colOff>561976</xdr:colOff>
      <xdr:row>24</xdr:row>
      <xdr:rowOff>28575</xdr:rowOff>
    </xdr:to>
    <xdr:sp macro="" textlink="">
      <xdr:nvSpPr>
        <xdr:cNvPr id="17" name="Rectangle 16">
          <a:extLst>
            <a:ext uri="{FF2B5EF4-FFF2-40B4-BE49-F238E27FC236}">
              <a16:creationId xmlns:a16="http://schemas.microsoft.com/office/drawing/2014/main" id="{A34B7846-2F83-48D7-B0D1-4CC48A36A585}"/>
            </a:ext>
          </a:extLst>
        </xdr:cNvPr>
        <xdr:cNvSpPr/>
      </xdr:nvSpPr>
      <xdr:spPr>
        <a:xfrm>
          <a:off x="3524250" y="4276725"/>
          <a:ext cx="695326"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ZA" sz="1400" b="1" i="0" u="none" strike="noStrike">
            <a:solidFill>
              <a:srgbClr val="EC255A"/>
            </a:solidFill>
            <a:latin typeface="Calibri"/>
            <a:ea typeface="+mn-ea"/>
            <a:cs typeface="Calibri"/>
          </a:endParaRPr>
        </a:p>
      </xdr:txBody>
    </xdr:sp>
    <xdr:clientData/>
  </xdr:twoCellAnchor>
  <xdr:twoCellAnchor>
    <xdr:from>
      <xdr:col>8</xdr:col>
      <xdr:colOff>295275</xdr:colOff>
      <xdr:row>23</xdr:row>
      <xdr:rowOff>76200</xdr:rowOff>
    </xdr:from>
    <xdr:to>
      <xdr:col>11</xdr:col>
      <xdr:colOff>66675</xdr:colOff>
      <xdr:row>24</xdr:row>
      <xdr:rowOff>114299</xdr:rowOff>
    </xdr:to>
    <xdr:sp macro="" textlink="">
      <xdr:nvSpPr>
        <xdr:cNvPr id="12" name="Rectangle 11">
          <a:extLst>
            <a:ext uri="{FF2B5EF4-FFF2-40B4-BE49-F238E27FC236}">
              <a16:creationId xmlns:a16="http://schemas.microsoft.com/office/drawing/2014/main" id="{5EC7416E-3058-4871-8B0A-372269AEC5D1}"/>
            </a:ext>
          </a:extLst>
        </xdr:cNvPr>
        <xdr:cNvSpPr/>
      </xdr:nvSpPr>
      <xdr:spPr>
        <a:xfrm>
          <a:off x="5172075" y="4457700"/>
          <a:ext cx="1600200" cy="2285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DELIVERY</a:t>
          </a:r>
          <a:r>
            <a:rPr lang="en-ZA" sz="1100">
              <a:solidFill>
                <a:schemeClr val="accent1">
                  <a:lumMod val="40000"/>
                  <a:lumOff val="60000"/>
                </a:schemeClr>
              </a:solidFill>
            </a:rPr>
            <a:t> </a:t>
          </a: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VS</a:t>
          </a:r>
          <a:r>
            <a:rPr lang="en-ZA" sz="1100">
              <a:solidFill>
                <a:schemeClr val="accent1">
                  <a:lumMod val="40000"/>
                  <a:lumOff val="60000"/>
                </a:schemeClr>
              </a:solidFill>
            </a:rPr>
            <a:t> </a:t>
          </a: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PICK</a:t>
          </a:r>
          <a:r>
            <a:rPr lang="en-ZA" sz="1100">
              <a:solidFill>
                <a:schemeClr val="accent1">
                  <a:lumMod val="40000"/>
                  <a:lumOff val="60000"/>
                </a:schemeClr>
              </a:solidFill>
            </a:rPr>
            <a:t> </a:t>
          </a: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UP</a:t>
          </a:r>
        </a:p>
      </xdr:txBody>
    </xdr:sp>
    <xdr:clientData/>
  </xdr:twoCellAnchor>
  <xdr:twoCellAnchor>
    <xdr:from>
      <xdr:col>8</xdr:col>
      <xdr:colOff>171450</xdr:colOff>
      <xdr:row>25</xdr:row>
      <xdr:rowOff>28575</xdr:rowOff>
    </xdr:from>
    <xdr:to>
      <xdr:col>10</xdr:col>
      <xdr:colOff>66675</xdr:colOff>
      <xdr:row>26</xdr:row>
      <xdr:rowOff>85725</xdr:rowOff>
    </xdr:to>
    <xdr:sp macro="" textlink="Sheet2!O34:O46">
      <xdr:nvSpPr>
        <xdr:cNvPr id="31" name="Rectangle 30">
          <a:extLst>
            <a:ext uri="{FF2B5EF4-FFF2-40B4-BE49-F238E27FC236}">
              <a16:creationId xmlns:a16="http://schemas.microsoft.com/office/drawing/2014/main" id="{237EBB10-314D-4826-B0BD-5510ED72F1D2}"/>
            </a:ext>
          </a:extLst>
        </xdr:cNvPr>
        <xdr:cNvSpPr/>
      </xdr:nvSpPr>
      <xdr:spPr>
        <a:xfrm>
          <a:off x="5048250" y="4791075"/>
          <a:ext cx="11144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20BBD2C-9232-40AD-AE78-1F4799AAEB61}" type="TxLink">
            <a:rPr lang="en-US" sz="2800" b="1" i="0" u="none" strike="noStrike">
              <a:solidFill>
                <a:srgbClr val="EC255A"/>
              </a:solidFill>
              <a:latin typeface="Calibri"/>
              <a:ea typeface="+mn-ea"/>
              <a:cs typeface="Calibri"/>
            </a:rPr>
            <a:pPr marL="0" indent="0" algn="ctr"/>
            <a:t>46%</a:t>
          </a:fld>
          <a:endParaRPr lang="en-ZA" sz="2800" b="1" i="0" u="none" strike="noStrike">
            <a:solidFill>
              <a:srgbClr val="EC255A"/>
            </a:solidFill>
            <a:latin typeface="Calibri"/>
            <a:ea typeface="+mn-ea"/>
            <a:cs typeface="Calibri"/>
          </a:endParaRPr>
        </a:p>
      </xdr:txBody>
    </xdr:sp>
    <xdr:clientData/>
  </xdr:twoCellAnchor>
  <xdr:twoCellAnchor>
    <xdr:from>
      <xdr:col>8</xdr:col>
      <xdr:colOff>400050</xdr:colOff>
      <xdr:row>24</xdr:row>
      <xdr:rowOff>142875</xdr:rowOff>
    </xdr:from>
    <xdr:to>
      <xdr:col>11</xdr:col>
      <xdr:colOff>123825</xdr:colOff>
      <xdr:row>24</xdr:row>
      <xdr:rowOff>152400</xdr:rowOff>
    </xdr:to>
    <xdr:cxnSp macro="">
      <xdr:nvCxnSpPr>
        <xdr:cNvPr id="76" name="Straight Connector 75">
          <a:extLst>
            <a:ext uri="{FF2B5EF4-FFF2-40B4-BE49-F238E27FC236}">
              <a16:creationId xmlns:a16="http://schemas.microsoft.com/office/drawing/2014/main" id="{9A1D9880-93D8-4B8B-81F8-FE86AFE24DB3}"/>
            </a:ext>
          </a:extLst>
        </xdr:cNvPr>
        <xdr:cNvCxnSpPr/>
      </xdr:nvCxnSpPr>
      <xdr:spPr>
        <a:xfrm flipV="1">
          <a:off x="5276850" y="4714875"/>
          <a:ext cx="1552575" cy="9525"/>
        </a:xfrm>
        <a:prstGeom prst="line">
          <a:avLst/>
        </a:prstGeom>
        <a:ln w="28575">
          <a:gradFill>
            <a:gsLst>
              <a:gs pos="35000">
                <a:srgbClr val="EC255A"/>
              </a:gs>
              <a:gs pos="100000">
                <a:srgbClr val="00B0F0"/>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342900</xdr:colOff>
      <xdr:row>25</xdr:row>
      <xdr:rowOff>66675</xdr:rowOff>
    </xdr:from>
    <xdr:to>
      <xdr:col>11</xdr:col>
      <xdr:colOff>352425</xdr:colOff>
      <xdr:row>26</xdr:row>
      <xdr:rowOff>142875</xdr:rowOff>
    </xdr:to>
    <xdr:sp macro="" textlink="Sheet2!M34:M46">
      <xdr:nvSpPr>
        <xdr:cNvPr id="33" name="Rectangle 32">
          <a:extLst>
            <a:ext uri="{FF2B5EF4-FFF2-40B4-BE49-F238E27FC236}">
              <a16:creationId xmlns:a16="http://schemas.microsoft.com/office/drawing/2014/main" id="{1243A92E-DD26-4EAB-AB26-C21CCC6A7683}"/>
            </a:ext>
          </a:extLst>
        </xdr:cNvPr>
        <xdr:cNvSpPr/>
      </xdr:nvSpPr>
      <xdr:spPr>
        <a:xfrm>
          <a:off x="5829300" y="4829175"/>
          <a:ext cx="12287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D8E964A-E295-4433-A128-A790BA32DBAC}" type="TxLink">
            <a:rPr lang="en-US" sz="1800" b="1" i="0" u="none" strike="noStrike">
              <a:solidFill>
                <a:srgbClr val="EC255A"/>
              </a:solidFill>
              <a:latin typeface="Calibri"/>
              <a:ea typeface="+mn-ea"/>
              <a:cs typeface="Calibri"/>
            </a:rPr>
            <a:pPr marL="0" indent="0" algn="ctr"/>
            <a:t>53,7%</a:t>
          </a:fld>
          <a:endParaRPr lang="en-ZA" sz="1800" b="1" i="0" u="none" strike="noStrike">
            <a:solidFill>
              <a:srgbClr val="EC255A"/>
            </a:solidFill>
            <a:latin typeface="Calibri"/>
            <a:ea typeface="+mn-ea"/>
            <a:cs typeface="Calibri"/>
          </a:endParaRPr>
        </a:p>
      </xdr:txBody>
    </xdr:sp>
    <xdr:clientData/>
  </xdr:twoCellAnchor>
  <xdr:twoCellAnchor editAs="oneCell">
    <xdr:from>
      <xdr:col>11</xdr:col>
      <xdr:colOff>219075</xdr:colOff>
      <xdr:row>24</xdr:row>
      <xdr:rowOff>180975</xdr:rowOff>
    </xdr:from>
    <xdr:to>
      <xdr:col>12</xdr:col>
      <xdr:colOff>180975</xdr:colOff>
      <xdr:row>27</xdr:row>
      <xdr:rowOff>180975</xdr:rowOff>
    </xdr:to>
    <xdr:pic>
      <xdr:nvPicPr>
        <xdr:cNvPr id="43" name="Graphic 42" descr="Delivery with solid fill">
          <a:extLst>
            <a:ext uri="{FF2B5EF4-FFF2-40B4-BE49-F238E27FC236}">
              <a16:creationId xmlns:a16="http://schemas.microsoft.com/office/drawing/2014/main" id="{C7D6ABF1-96D3-4E42-9DF1-EA92FDCAFCC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924675" y="4752975"/>
          <a:ext cx="571500" cy="571500"/>
        </a:xfrm>
        <a:prstGeom prst="rect">
          <a:avLst/>
        </a:prstGeom>
      </xdr:spPr>
    </xdr:pic>
    <xdr:clientData/>
  </xdr:twoCellAnchor>
  <xdr:twoCellAnchor>
    <xdr:from>
      <xdr:col>8</xdr:col>
      <xdr:colOff>104775</xdr:colOff>
      <xdr:row>5</xdr:row>
      <xdr:rowOff>180975</xdr:rowOff>
    </xdr:from>
    <xdr:to>
      <xdr:col>9</xdr:col>
      <xdr:colOff>209550</xdr:colOff>
      <xdr:row>8</xdr:row>
      <xdr:rowOff>47625</xdr:rowOff>
    </xdr:to>
    <xdr:sp macro="" textlink="">
      <xdr:nvSpPr>
        <xdr:cNvPr id="45" name="Rectangle 44">
          <a:extLst>
            <a:ext uri="{FF2B5EF4-FFF2-40B4-BE49-F238E27FC236}">
              <a16:creationId xmlns:a16="http://schemas.microsoft.com/office/drawing/2014/main" id="{4BA8B286-6F79-4907-8F37-50EA7A4FADF8}"/>
            </a:ext>
          </a:extLst>
        </xdr:cNvPr>
        <xdr:cNvSpPr/>
      </xdr:nvSpPr>
      <xdr:spPr>
        <a:xfrm>
          <a:off x="4981575" y="1133475"/>
          <a:ext cx="714375" cy="4381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KM</a:t>
          </a:r>
          <a:endParaRPr lang="en-ZA" sz="1100"/>
        </a:p>
      </xdr:txBody>
    </xdr:sp>
    <xdr:clientData/>
  </xdr:twoCellAnchor>
  <xdr:twoCellAnchor>
    <xdr:from>
      <xdr:col>0</xdr:col>
      <xdr:colOff>381001</xdr:colOff>
      <xdr:row>0</xdr:row>
      <xdr:rowOff>104775</xdr:rowOff>
    </xdr:from>
    <xdr:to>
      <xdr:col>6</xdr:col>
      <xdr:colOff>447675</xdr:colOff>
      <xdr:row>2</xdr:row>
      <xdr:rowOff>152400</xdr:rowOff>
    </xdr:to>
    <xdr:sp macro="" textlink="">
      <xdr:nvSpPr>
        <xdr:cNvPr id="73" name="Rectangle: Rounded Corners 72">
          <a:extLst>
            <a:ext uri="{FF2B5EF4-FFF2-40B4-BE49-F238E27FC236}">
              <a16:creationId xmlns:a16="http://schemas.microsoft.com/office/drawing/2014/main" id="{72FFF014-1A5C-4FCF-9AB2-3E2EA03F697F}"/>
            </a:ext>
          </a:extLst>
        </xdr:cNvPr>
        <xdr:cNvSpPr/>
      </xdr:nvSpPr>
      <xdr:spPr>
        <a:xfrm>
          <a:off x="381001" y="104775"/>
          <a:ext cx="3724274" cy="428625"/>
        </a:xfrm>
        <a:prstGeom prst="roundRect">
          <a:avLst/>
        </a:prstGeom>
        <a:solidFill>
          <a:srgbClr val="1600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419101</xdr:colOff>
      <xdr:row>1</xdr:row>
      <xdr:rowOff>19050</xdr:rowOff>
    </xdr:from>
    <xdr:to>
      <xdr:col>6</xdr:col>
      <xdr:colOff>228601</xdr:colOff>
      <xdr:row>2</xdr:row>
      <xdr:rowOff>66675</xdr:rowOff>
    </xdr:to>
    <xdr:sp macro="" textlink="">
      <xdr:nvSpPr>
        <xdr:cNvPr id="34" name="TextBox 33">
          <a:extLst>
            <a:ext uri="{FF2B5EF4-FFF2-40B4-BE49-F238E27FC236}">
              <a16:creationId xmlns:a16="http://schemas.microsoft.com/office/drawing/2014/main" id="{DCD93693-9215-4DAB-BC41-C641D9A1FE43}"/>
            </a:ext>
          </a:extLst>
        </xdr:cNvPr>
        <xdr:cNvSpPr txBox="1"/>
      </xdr:nvSpPr>
      <xdr:spPr>
        <a:xfrm>
          <a:off x="419101" y="209550"/>
          <a:ext cx="34671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ZA" sz="1600" b="1" i="1">
              <a:gradFill flip="none" rotWithShape="1">
                <a:gsLst>
                  <a:gs pos="0">
                    <a:srgbClr val="00B0F0">
                      <a:tint val="66000"/>
                      <a:satMod val="160000"/>
                    </a:srgbClr>
                  </a:gs>
                  <a:gs pos="50000">
                    <a:srgbClr val="00B0F0">
                      <a:tint val="44500"/>
                      <a:satMod val="160000"/>
                    </a:srgbClr>
                  </a:gs>
                  <a:gs pos="100000">
                    <a:srgbClr val="00B0F0">
                      <a:tint val="23500"/>
                      <a:satMod val="160000"/>
                    </a:srgbClr>
                  </a:gs>
                </a:gsLst>
                <a:lin ang="5400000" scaled="1"/>
                <a:tileRect/>
              </a:gradFill>
            </a:rPr>
            <a:t>ECOM KPI SALES DASHBOARD</a:t>
          </a:r>
          <a:r>
            <a:rPr lang="en-ZA" sz="1600" b="1" i="1" baseline="0">
              <a:gradFill flip="none" rotWithShape="1">
                <a:gsLst>
                  <a:gs pos="0">
                    <a:srgbClr val="00B0F0">
                      <a:tint val="66000"/>
                      <a:satMod val="160000"/>
                    </a:srgbClr>
                  </a:gs>
                  <a:gs pos="50000">
                    <a:srgbClr val="00B0F0">
                      <a:tint val="44500"/>
                      <a:satMod val="160000"/>
                    </a:srgbClr>
                  </a:gs>
                  <a:gs pos="100000">
                    <a:srgbClr val="00B0F0">
                      <a:tint val="23500"/>
                      <a:satMod val="160000"/>
                    </a:srgbClr>
                  </a:gs>
                </a:gsLst>
                <a:lin ang="5400000" scaled="1"/>
                <a:tileRect/>
              </a:gradFill>
            </a:rPr>
            <a:t> 2019</a:t>
          </a:r>
          <a:endParaRPr lang="en-ZA" sz="1600" b="1" i="1">
            <a:gradFill flip="none" rotWithShape="1">
              <a:gsLst>
                <a:gs pos="0">
                  <a:srgbClr val="00B0F0">
                    <a:tint val="66000"/>
                    <a:satMod val="160000"/>
                  </a:srgbClr>
                </a:gs>
                <a:gs pos="50000">
                  <a:srgbClr val="00B0F0">
                    <a:tint val="44500"/>
                    <a:satMod val="160000"/>
                  </a:srgbClr>
                </a:gs>
                <a:gs pos="100000">
                  <a:srgbClr val="00B0F0">
                    <a:tint val="23500"/>
                    <a:satMod val="160000"/>
                  </a:srgbClr>
                </a:gs>
              </a:gsLst>
              <a:lin ang="5400000" scaled="1"/>
              <a:tileRect/>
            </a:gradFill>
          </a:endParaRPr>
        </a:p>
      </xdr:txBody>
    </xdr:sp>
    <xdr:clientData/>
  </xdr:twoCellAnchor>
  <xdr:twoCellAnchor editAs="oneCell">
    <xdr:from>
      <xdr:col>5</xdr:col>
      <xdr:colOff>581025</xdr:colOff>
      <xdr:row>0</xdr:row>
      <xdr:rowOff>133350</xdr:rowOff>
    </xdr:from>
    <xdr:to>
      <xdr:col>6</xdr:col>
      <xdr:colOff>371475</xdr:colOff>
      <xdr:row>2</xdr:row>
      <xdr:rowOff>152400</xdr:rowOff>
    </xdr:to>
    <xdr:pic>
      <xdr:nvPicPr>
        <xdr:cNvPr id="49" name="Graphic 48" descr="Customer review with solid fill">
          <a:extLst>
            <a:ext uri="{FF2B5EF4-FFF2-40B4-BE49-F238E27FC236}">
              <a16:creationId xmlns:a16="http://schemas.microsoft.com/office/drawing/2014/main" id="{6A56BE8F-ADC8-41AF-B83E-EDBA3C9606E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629025" y="133350"/>
          <a:ext cx="400050" cy="400050"/>
        </a:xfrm>
        <a:prstGeom prst="rect">
          <a:avLst/>
        </a:prstGeom>
      </xdr:spPr>
    </xdr:pic>
    <xdr:clientData/>
  </xdr:twoCellAnchor>
  <xdr:twoCellAnchor>
    <xdr:from>
      <xdr:col>6</xdr:col>
      <xdr:colOff>428625</xdr:colOff>
      <xdr:row>8</xdr:row>
      <xdr:rowOff>152400</xdr:rowOff>
    </xdr:from>
    <xdr:to>
      <xdr:col>8</xdr:col>
      <xdr:colOff>495300</xdr:colOff>
      <xdr:row>10</xdr:row>
      <xdr:rowOff>114300</xdr:rowOff>
    </xdr:to>
    <xdr:sp macro="" textlink="Sheet2!H31">
      <xdr:nvSpPr>
        <xdr:cNvPr id="77" name="TextBox 76">
          <a:extLst>
            <a:ext uri="{FF2B5EF4-FFF2-40B4-BE49-F238E27FC236}">
              <a16:creationId xmlns:a16="http://schemas.microsoft.com/office/drawing/2014/main" id="{A7A9D2BE-1C56-4BCA-B6D6-8118226C2353}"/>
            </a:ext>
          </a:extLst>
        </xdr:cNvPr>
        <xdr:cNvSpPr txBox="1"/>
      </xdr:nvSpPr>
      <xdr:spPr>
        <a:xfrm>
          <a:off x="4086225" y="1676400"/>
          <a:ext cx="12858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6231CF-BE17-46DF-BD3A-4E4303F1484F}" type="TxLink">
            <a:rPr lang="en-US" sz="1800" b="1" i="0" u="none" strike="noStrike">
              <a:ln>
                <a:noFill/>
              </a:ln>
              <a:solidFill>
                <a:srgbClr val="EC255A"/>
              </a:solidFill>
              <a:latin typeface="Calibri"/>
              <a:ea typeface="+mn-ea"/>
              <a:cs typeface="Calibri"/>
            </a:rPr>
            <a:pPr marL="0" indent="0" algn="ctr"/>
            <a:t>R24,39</a:t>
          </a:fld>
          <a:endParaRPr lang="en-US" sz="1800" b="1" i="0" u="none" strike="noStrike">
            <a:ln>
              <a:noFill/>
            </a:ln>
            <a:solidFill>
              <a:srgbClr val="EC255A"/>
            </a:solidFill>
            <a:latin typeface="Calibri"/>
            <a:ea typeface="+mn-ea"/>
            <a:cs typeface="Calibri"/>
          </a:endParaRPr>
        </a:p>
      </xdr:txBody>
    </xdr:sp>
    <xdr:clientData/>
  </xdr:twoCellAnchor>
  <xdr:twoCellAnchor>
    <xdr:from>
      <xdr:col>7</xdr:col>
      <xdr:colOff>123825</xdr:colOff>
      <xdr:row>8</xdr:row>
      <xdr:rowOff>152400</xdr:rowOff>
    </xdr:from>
    <xdr:to>
      <xdr:col>9</xdr:col>
      <xdr:colOff>457200</xdr:colOff>
      <xdr:row>8</xdr:row>
      <xdr:rowOff>161925</xdr:rowOff>
    </xdr:to>
    <xdr:cxnSp macro="">
      <xdr:nvCxnSpPr>
        <xdr:cNvPr id="78" name="Straight Connector 77">
          <a:extLst>
            <a:ext uri="{FF2B5EF4-FFF2-40B4-BE49-F238E27FC236}">
              <a16:creationId xmlns:a16="http://schemas.microsoft.com/office/drawing/2014/main" id="{20B9F712-C28A-4082-9BF3-04225B7AFB56}"/>
            </a:ext>
          </a:extLst>
        </xdr:cNvPr>
        <xdr:cNvCxnSpPr/>
      </xdr:nvCxnSpPr>
      <xdr:spPr>
        <a:xfrm flipV="1">
          <a:off x="4391025" y="1676400"/>
          <a:ext cx="1552575" cy="9525"/>
        </a:xfrm>
        <a:prstGeom prst="line">
          <a:avLst/>
        </a:prstGeom>
        <a:ln w="28575">
          <a:gradFill>
            <a:gsLst>
              <a:gs pos="40000">
                <a:srgbClr val="EC255A"/>
              </a:gs>
              <a:gs pos="85000">
                <a:srgbClr val="00B0F0"/>
              </a:gs>
            </a:gsLst>
            <a:lin ang="5400000" scaled="1"/>
          </a:gra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38100</xdr:colOff>
      <xdr:row>7</xdr:row>
      <xdr:rowOff>123826</xdr:rowOff>
    </xdr:from>
    <xdr:to>
      <xdr:col>9</xdr:col>
      <xdr:colOff>552450</xdr:colOff>
      <xdr:row>8</xdr:row>
      <xdr:rowOff>104776</xdr:rowOff>
    </xdr:to>
    <xdr:sp macro="" textlink="">
      <xdr:nvSpPr>
        <xdr:cNvPr id="50" name="TextBox 49">
          <a:extLst>
            <a:ext uri="{FF2B5EF4-FFF2-40B4-BE49-F238E27FC236}">
              <a16:creationId xmlns:a16="http://schemas.microsoft.com/office/drawing/2014/main" id="{9079FF59-50DF-4A2B-A647-3B7A19D048AC}"/>
            </a:ext>
          </a:extLst>
        </xdr:cNvPr>
        <xdr:cNvSpPr txBox="1"/>
      </xdr:nvSpPr>
      <xdr:spPr>
        <a:xfrm>
          <a:off x="4305300" y="1457326"/>
          <a:ext cx="17335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DELIVERY</a:t>
          </a:r>
          <a:r>
            <a:rPr lang="en-US" sz="1100" baseline="0"/>
            <a:t> </a:t>
          </a:r>
          <a:r>
            <a:rPr lang="en-US"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COST</a:t>
          </a:r>
          <a:r>
            <a:rPr lang="en-US" sz="1100" baseline="0"/>
            <a:t> </a:t>
          </a:r>
          <a:r>
            <a:rPr lang="en-US"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PER</a:t>
          </a:r>
          <a:r>
            <a:rPr lang="en-US" sz="1100" baseline="0"/>
            <a:t> </a:t>
          </a:r>
          <a:r>
            <a:rPr lang="en-US" sz="1100" b="0" i="1" cap="none" spc="0">
              <a:ln w="0">
                <a:noFill/>
              </a:ln>
              <a:solidFill>
                <a:schemeClr val="accent1">
                  <a:lumMod val="40000"/>
                  <a:lumOff val="60000"/>
                </a:schemeClr>
              </a:solidFill>
              <a:effectLst>
                <a:outerShdw blurRad="38100" dist="19050" dir="2700000" algn="tl" rotWithShape="0">
                  <a:schemeClr val="dk1">
                    <a:alpha val="40000"/>
                  </a:schemeClr>
                </a:outerShdw>
              </a:effectLst>
              <a:latin typeface="+mj-lt"/>
              <a:ea typeface="+mn-ea"/>
              <a:cs typeface="Arabic Typesetting" panose="020B0604020202020204" pitchFamily="66" charset="-78"/>
            </a:rPr>
            <a:t>KM</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0773263889" backgroundQuery="1" createdVersion="7" refreshedVersion="7" minRefreshableVersion="3" recordCount="0" supportSubquery="1" supportAdvancedDrill="1" xr:uid="{900E2321-ECE5-4D9A-B354-BA952A94C4B2}">
  <cacheSource type="external" connectionId="6"/>
  <cacheFields count="4">
    <cacheField name="[sales_date].[Month Name].[Month Name]" caption="Month Name" numFmtId="0" hierarchy="16" level="1">
      <sharedItems count="12">
        <s v="April"/>
        <s v="August"/>
        <s v="December"/>
        <s v="February"/>
        <s v="January"/>
        <s v="July"/>
        <s v="June"/>
        <s v="March"/>
        <s v="May"/>
        <s v="November"/>
        <s v="October"/>
        <s v="September"/>
      </sharedItems>
    </cacheField>
    <cacheField name="[sales_date].[Quarter].[Quarter]" caption="Quarter" numFmtId="0" hierarchy="17" level="1">
      <sharedItems count="4">
        <s v="Q1"/>
        <s v="Q2"/>
        <s v="Q3"/>
        <s v="Q4"/>
      </sharedItems>
    </cacheField>
    <cacheField name="[Measures].[Sum of order_price]" caption="Sum of order_price" numFmtId="0" hierarchy="33" level="32767"/>
    <cacheField name="[sales_date].[Month].[Month]" caption="Month" numFmtId="0" hierarchy="15" level="1">
      <sharedItems containsSemiMixedTypes="0" containsNonDate="0" containsString="0"/>
    </cacheField>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3"/>
      </fieldsUsage>
    </cacheHierarchy>
    <cacheHierarchy uniqueName="[sales_date].[Month Name]" caption="Month Name" attribute="1" defaultMemberUniqueName="[sales_date].[Month Name].[All]" allUniqueName="[sales_date].[Month Name].[All]" dimensionUniqueName="[sales_date]" displayFolder="" count="2" memberValueDatatype="130" unbalanced="0">
      <fieldsUsage count="2">
        <fieldUsage x="-1"/>
        <fieldUsage x="0"/>
      </fieldsUsage>
    </cacheHierarchy>
    <cacheHierarchy uniqueName="[sales_date].[Quarter]" caption="Quarter" attribute="1" defaultMemberUniqueName="[sales_date].[Quarter].[All]" allUniqueName="[sales_date].[Quarter].[All]" dimensionUniqueName="[sales_date]" displayFolder="" count="2" memberValueDatatype="130" unbalanced="0">
      <fieldsUsage count="2">
        <fieldUsage x="-1"/>
        <fieldUsage x="1"/>
      </fieldsUsage>
    </cacheHierarchy>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hidden="1">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0774884259" backgroundQuery="1" createdVersion="7" refreshedVersion="7" minRefreshableVersion="3" recordCount="0" supportSubquery="1" supportAdvancedDrill="1" xr:uid="{E505F6D2-1999-4380-9733-5BDA84D2ADDE}">
  <cacheSource type="external" connectionId="6"/>
  <cacheFields count="2">
    <cacheField name="[sales_date].[Month Name].[Month Name]" caption="Month Name" numFmtId="0" hierarchy="16" level="1">
      <sharedItems count="12">
        <s v="April"/>
        <s v="August"/>
        <s v="December"/>
        <s v="February"/>
        <s v="January"/>
        <s v="July"/>
        <s v="June"/>
        <s v="March"/>
        <s v="May"/>
        <s v="November"/>
        <s v="October"/>
        <s v="September"/>
      </sharedItems>
    </cacheField>
    <cacheField name="[Measures].[Sum of total order total]" caption="Sum of total order total" numFmtId="0" hierarchy="24" level="32767"/>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0" memberValueDatatype="20" unbalanced="0"/>
    <cacheHierarchy uniqueName="[sales_date].[Month Name]" caption="Month Name" attribute="1" defaultMemberUniqueName="[sales_date].[Month Name].[All]" allUniqueName="[sales_date].[Month Name].[All]" dimensionUniqueName="[sales_date]" displayFolder="" count="2" memberValueDatatype="130" unbalanced="0">
      <fieldsUsage count="2">
        <fieldUsage x="-1"/>
        <fieldUsage x="0"/>
      </fieldsUsage>
    </cacheHierarchy>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2665046294" backgroundQuery="1" createdVersion="7" refreshedVersion="7" minRefreshableVersion="3" recordCount="0" supportSubquery="1" supportAdvancedDrill="1" xr:uid="{94451878-2504-42F3-80F8-06FBDA4F6132}">
  <cacheSource type="external" connectionId="6"/>
  <cacheFields count="1">
    <cacheField name="[sales_date].[Month].[Month]" caption="Month" numFmtId="0" hierarchy="15" level="1">
      <sharedItems containsSemiMixedTypes="0" containsString="0" containsNumber="1" containsInteger="1" minValue="3" maxValue="3" count="1">
        <n v="3"/>
      </sharedItems>
      <extLst>
        <ext xmlns:x15="http://schemas.microsoft.com/office/spreadsheetml/2010/11/main" uri="{4F2E5C28-24EA-4eb8-9CBF-B6C8F9C3D259}">
          <x15:cachedUniqueNames>
            <x15:cachedUniqueName index="0" name="[sales_date].[Month].&amp;[3]"/>
          </x15:cachedUniqueNames>
        </ext>
      </extLst>
    </cacheField>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0"/>
      </fieldsUsage>
    </cacheHierarchy>
    <cacheHierarchy uniqueName="[sales_date].[Month Name]" caption="Month Name" attribute="1" defaultMemberUniqueName="[sales_date].[Month Name].[All]" allUniqueName="[sales_date].[Month Name].[All]" dimensionUniqueName="[sales_date]" displayFolder="" count="0" memberValueDatatype="130" unbalanced="0"/>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hidden="1">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Ryan" refreshedDate="44584.952665625002" backgroundQuery="1" createdVersion="7" refreshedVersion="7" minRefreshableVersion="3" recordCount="0" supportSubquery="1" supportAdvancedDrill="1" xr:uid="{0F4E7AF6-3D21-41C6-B536-822C4411009C}">
  <cacheSource type="external" connectionId="6"/>
  <cacheFields count="4">
    <cacheField name="[sales_date].[Month Name].[Month Name]" caption="Month Name" numFmtId="0" hierarchy="16" level="1">
      <sharedItems count="1">
        <s v="March"/>
      </sharedItems>
    </cacheField>
    <cacheField name="[Measures].[Sum of total order total]" caption="Sum of total order total" numFmtId="0" hierarchy="24" level="32767"/>
    <cacheField name="[Measures].[Count of order_id]" caption="Count of order_id" numFmtId="0" hierarchy="30" level="32767"/>
    <cacheField name="[sales_date].[Month].[Month]" caption="Month" numFmtId="0" hierarchy="15" level="1">
      <sharedItems containsSemiMixedTypes="0" containsNonDate="0" containsString="0"/>
    </cacheField>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3"/>
      </fieldsUsage>
    </cacheHierarchy>
    <cacheHierarchy uniqueName="[sales_date].[Month Name]" caption="Month Name" attribute="1" defaultMemberUniqueName="[sales_date].[Month Name].[All]" allUniqueName="[sales_date].[Month Name].[All]" dimensionUniqueName="[sales_date]" displayFolder="" count="2" memberValueDatatype="130" unbalanced="0">
      <fieldsUsage count="2">
        <fieldUsage x="-1"/>
        <fieldUsage x="0"/>
      </fieldsUsage>
    </cacheHierarchy>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oneField="1" hidden="1">
      <fieldsUsage count="1">
        <fieldUsage x="2"/>
      </fieldsUsage>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2665972225" backgroundQuery="1" createdVersion="7" refreshedVersion="7" minRefreshableVersion="3" recordCount="0" supportSubquery="1" supportAdvancedDrill="1" xr:uid="{05101545-C3DC-4970-9351-0EA32785BFC5}">
  <cacheSource type="external" connectionId="6"/>
  <cacheFields count="3">
    <cacheField name="[sales_date].[Month Name].[Month Name]" caption="Month Name" numFmtId="0" hierarchy="16" level="1">
      <sharedItems count="1">
        <s v="March"/>
      </sharedItems>
    </cacheField>
    <cacheField name="[Measures].[Sum of rand discount]" caption="Sum of rand discount" numFmtId="0" hierarchy="26" level="32767"/>
    <cacheField name="[sales_date].[Month].[Month]" caption="Month" numFmtId="0" hierarchy="15" level="1">
      <sharedItems containsSemiMixedTypes="0" containsNonDate="0" containsString="0"/>
    </cacheField>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2"/>
      </fieldsUsage>
    </cacheHierarchy>
    <cacheHierarchy uniqueName="[sales_date].[Month Name]" caption="Month Name" attribute="1" defaultMemberUniqueName="[sales_date].[Month Name].[All]" allUniqueName="[sales_date].[Month Name].[All]" dimensionUniqueName="[sales_date]" displayFolder="" count="2" memberValueDatatype="130" unbalanced="0">
      <fieldsUsage count="2">
        <fieldUsage x="-1"/>
        <fieldUsage x="0"/>
      </fieldsUsage>
    </cacheHierarchy>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hidden="1">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2666550926" backgroundQuery="1" createdVersion="7" refreshedVersion="7" minRefreshableVersion="3" recordCount="0" supportSubquery="1" supportAdvancedDrill="1" xr:uid="{12729AE9-9CDD-493D-BB9E-8BD97B723F13}">
  <cacheSource type="external" connectionId="6"/>
  <cacheFields count="4">
    <cacheField name="[sales_date].[Month Name].[Month Name]" caption="Month Name" numFmtId="0" hierarchy="16" level="1">
      <sharedItems count="1">
        <s v="March"/>
      </sharedItems>
    </cacheField>
    <cacheField name="[Measures].[Sum of total order total]" caption="Sum of total order total" numFmtId="0" hierarchy="24" level="32767"/>
    <cacheField name="[Measures].[Sum of delivery_charges]" caption="Sum of delivery_charges" numFmtId="0" hierarchy="31" level="32767"/>
    <cacheField name="[sales_date].[Month].[Month]" caption="Month" numFmtId="0" hierarchy="15" level="1">
      <sharedItems containsSemiMixedTypes="0" containsNonDate="0" containsString="0"/>
    </cacheField>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3"/>
      </fieldsUsage>
    </cacheHierarchy>
    <cacheHierarchy uniqueName="[sales_date].[Month Name]" caption="Month Name" attribute="1" defaultMemberUniqueName="[sales_date].[Month Name].[All]" allUniqueName="[sales_date].[Month Name].[All]" dimensionUniqueName="[sales_date]" displayFolder="" count="2" memberValueDatatype="130" unbalanced="0">
      <fieldsUsage count="2">
        <fieldUsage x="-1"/>
        <fieldUsage x="0"/>
      </fieldsUsage>
    </cacheHierarchy>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2667129626" backgroundQuery="1" createdVersion="7" refreshedVersion="7" minRefreshableVersion="3" recordCount="0" supportSubquery="1" supportAdvancedDrill="1" xr:uid="{0EEACACA-B6A4-493E-875D-E9320A617126}">
  <cacheSource type="external" connectionId="6"/>
  <cacheFields count="5">
    <cacheField name="[sales_date].[Month Name].[Month Name]" caption="Month Name" numFmtId="0" hierarchy="16" level="1">
      <sharedItems count="1">
        <s v="March"/>
      </sharedItems>
    </cacheField>
    <cacheField name="[sales_data].[is_expedited_delivery].[is_expedited_delivery]" caption="is_expedited_delivery" numFmtId="0" hierarchy="11" level="1">
      <sharedItems count="2">
        <b v="0"/>
        <b v="1"/>
      </sharedItems>
    </cacheField>
    <cacheField name="[Measures].[Count of is_expedited_delivery]" caption="Count of is_expedited_delivery" numFmtId="0" hierarchy="34" level="32767"/>
    <cacheField name="[sales_date].[Month].[Month]" caption="Month" numFmtId="0" hierarchy="15" level="1">
      <sharedItems containsSemiMixedTypes="0" containsNonDate="0" containsString="0"/>
    </cacheField>
    <cacheField name="Dummy0" numFmtId="0" hierarchy="37" level="32767">
      <extLst>
        <ext xmlns:x14="http://schemas.microsoft.com/office/spreadsheetml/2009/9/main" uri="{63CAB8AC-B538-458d-9737-405883B0398D}">
          <x14:cacheField ignore="1"/>
        </ext>
      </extLst>
    </cacheField>
  </cacheFields>
  <cacheHierarchies count="38">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2" memberValueDatatype="11" unbalanced="0">
      <fieldsUsage count="2">
        <fieldUsage x="-1"/>
        <fieldUsage x="1"/>
      </fieldsUsage>
    </cacheHierarchy>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3"/>
      </fieldsUsage>
    </cacheHierarchy>
    <cacheHierarchy uniqueName="[sales_date].[Month Name]" caption="Month Name" attribute="1" defaultMemberUniqueName="[sales_date].[Month Name].[All]" allUniqueName="[sales_date].[Month Name].[All]" dimensionUniqueName="[sales_date]" displayFolder="" count="2" memberValueDatatype="130" unbalanced="0">
      <fieldsUsage count="2">
        <fieldUsage x="-1"/>
        <fieldUsage x="0"/>
      </fieldsUsage>
    </cacheHierarchy>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hidden="1">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2667592595" backgroundQuery="1" createdVersion="7" refreshedVersion="7" minRefreshableVersion="3" recordCount="0" supportSubquery="1" supportAdvancedDrill="1" xr:uid="{9A124A56-943B-4946-BF98-EBAC7F6BCBB8}">
  <cacheSource type="external" connectionId="6"/>
  <cacheFields count="3">
    <cacheField name="[sales_date].[Month Name].[Month Name]" caption="Month Name" numFmtId="0" hierarchy="16" level="1">
      <sharedItems count="1">
        <s v="March"/>
      </sharedItems>
    </cacheField>
    <cacheField name="[Measures].[Sum of distance_to_nearest_warehouse]" caption="Sum of distance_to_nearest_warehouse" numFmtId="0" hierarchy="36" level="32767"/>
    <cacheField name="[sales_date].[Month].[Month]" caption="Month" numFmtId="0" hierarchy="15" level="1">
      <sharedItems containsSemiMixedTypes="0" containsNonDate="0" containsString="0"/>
    </cacheField>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2"/>
      </fieldsUsage>
    </cacheHierarchy>
    <cacheHierarchy uniqueName="[sales_date].[Month Name]" caption="Month Name" attribute="1" defaultMemberUniqueName="[sales_date].[Month Name].[All]" allUniqueName="[sales_date].[Month Name].[All]" dimensionUniqueName="[sales_date]" displayFolder="" count="2" memberValueDatatype="130" unbalanced="0">
      <fieldsUsage count="2">
        <fieldUsage x="-1"/>
        <fieldUsage x="0"/>
      </fieldsUsage>
    </cacheHierarchy>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hidden="1">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oneField="1" hidden="1">
      <fieldsUsage count="1">
        <fieldUsage x="1"/>
      </fieldsUsage>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2668171296" backgroundQuery="1" createdVersion="7" refreshedVersion="7" minRefreshableVersion="3" recordCount="0" supportSubquery="1" supportAdvancedDrill="1" xr:uid="{88F2D037-341B-4329-A151-A4E0917A0BB1}">
  <cacheSource type="external" connectionId="6"/>
  <cacheFields count="3">
    <cacheField name="[warehouse_id].[Warehouse name].[Warehouse name]" caption="Warehouse name" numFmtId="0" hierarchy="18" level="1">
      <sharedItems count="3">
        <s v="Bakers"/>
        <s v="nickolson"/>
        <s v="Thompson"/>
      </sharedItems>
    </cacheField>
    <cacheField name="[Measures].[Sum of total order total]" caption="Sum of total order total" numFmtId="0" hierarchy="24" level="32767"/>
    <cacheField name="[sales_date].[Month].[Month]" caption="Month" numFmtId="0" hierarchy="15" level="1">
      <sharedItems containsSemiMixedTypes="0" containsNonDate="0" containsString="0"/>
    </cacheField>
  </cacheFields>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fieldsUsage count="2">
        <fieldUsage x="-1"/>
        <fieldUsage x="2"/>
      </fieldsUsage>
    </cacheHierarchy>
    <cacheHierarchy uniqueName="[sales_date].[Month Name]" caption="Month Name" attribute="1" defaultMemberUniqueName="[sales_date].[Month Name].[All]" allUniqueName="[sales_date].[Month Name].[All]" dimensionUniqueName="[sales_date]" displayFolder="" count="0" memberValueDatatype="130" unbalanced="0"/>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2" memberValueDatatype="130" unbalanced="0">
      <fieldsUsage count="2">
        <fieldUsage x="-1"/>
        <fieldUsage x="0"/>
      </fieldsUsage>
    </cacheHierarchy>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dimensions count="4">
    <dimension measure="1" name="Measures" uniqueName="[Measures]" caption="Measures"/>
    <dimension name="sales_data" uniqueName="[sales_data]" caption="sales_data"/>
    <dimension name="sales_date" uniqueName="[sales_date]" caption="sales_date"/>
    <dimension name="warehouse_id" uniqueName="[warehouse_id]" caption="warehouse_id"/>
  </dimensions>
  <measureGroups count="3">
    <measureGroup name="sales_data" caption="sales_data"/>
    <measureGroup name="sales_date" caption="sales_date"/>
    <measureGroup name="warehouse_id" caption="warehouse_id"/>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refreshedDate="44584.950757870371" backgroundQuery="1" createdVersion="3" refreshedVersion="7" minRefreshableVersion="3" recordCount="0" supportSubquery="1" supportAdvancedDrill="1" xr:uid="{BF2C149B-A840-49B8-8DA0-3DD983BFEE4D}">
  <cacheSource type="external" connectionId="6">
    <extLst>
      <ext xmlns:x14="http://schemas.microsoft.com/office/spreadsheetml/2009/9/main" uri="{F057638F-6D5F-4e77-A914-E7F072B9BCA8}">
        <x14:sourceConnection name="ThisWorkbookDataModel"/>
      </ext>
    </extLst>
  </cacheSource>
  <cacheFields count="0"/>
  <cacheHierarchies count="37">
    <cacheHierarchy uniqueName="[sales_data].[date]" caption="date" attribute="1" time="1" defaultMemberUniqueName="[sales_data].[date].[All]" allUniqueName="[sales_data].[date].[All]" dimensionUniqueName="[sales_data]" displayFolder="" count="0" memberValueDatatype="7" unbalanced="0"/>
    <cacheHierarchy uniqueName="[sales_data].[order_id]" caption="order_id" attribute="1" defaultMemberUniqueName="[sales_data].[order_id].[All]" allUniqueName="[sales_data].[order_id].[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warehouse id]" caption="warehouse id" attribute="1" defaultMemberUniqueName="[sales_data].[warehouse id].[All]" allUniqueName="[sales_data].[warehouse id].[All]" dimensionUniqueName="[sales_data]" displayFolder="" count="0" memberValueDatatype="20" unbalanced="0"/>
    <cacheHierarchy uniqueName="[sales_data].[total order total]" caption="total order total" attribute="1" defaultMemberUniqueName="[sales_data].[total order total].[All]" allUniqueName="[sales_data].[total order total].[All]" dimensionUniqueName="[sales_data]" displayFolder="" count="0" memberValueDatatype="5" unbalanced="0"/>
    <cacheHierarchy uniqueName="[sales_data].[total sales after dis]" caption="total sales after dis" attribute="1" defaultMemberUniqueName="[sales_data].[total sales after dis].[All]" allUniqueName="[sales_data].[total sales after dis].[All]" dimensionUniqueName="[sales_data]" displayFolder="" count="0" memberValueDatatype="5" unbalanced="0"/>
    <cacheHierarchy uniqueName="[sales_data].[rand discount]" caption="rand discount" attribute="1" defaultMemberUniqueName="[sales_data].[rand discount].[All]" allUniqueName="[sales_data].[rand discount].[All]" dimensionUniqueName="[sales_data]" displayFolder="" count="0" memberValueDatatype="5" unbalanced="0"/>
    <cacheHierarchy uniqueName="[sales_data].[discount %]" caption="discount %" attribute="1" defaultMemberUniqueName="[sales_data].[discount %].[All]" allUniqueName="[sales_data].[discount %].[All]" dimensionUniqueName="[sales_data]" displayFolder="" count="0" memberValueDatatype="5" unbalanced="0"/>
    <cacheHierarchy uniqueName="[sales_data].[coupon_discount]" caption="coupon_discount" attribute="1" defaultMemberUniqueName="[sales_data].[coupon_discount].[All]" allUniqueName="[sales_data].[coupon_discount].[All]" dimensionUniqueName="[sales_data]" displayFolder="" count="0" memberValueDatatype="20" unbalanced="0"/>
    <cacheHierarchy uniqueName="[sales_data].[delivery_charges]" caption="delivery_charges" attribute="1" defaultMemberUniqueName="[sales_data].[delivery_charges].[All]" allUniqueName="[sales_data].[delivery_charges].[All]" dimensionUniqueName="[sales_data]" displayFolder="" count="0" memberValueDatatype="5" unbalanced="0"/>
    <cacheHierarchy uniqueName="[sales_data].[order_price]" caption="order_price" attribute="1" defaultMemberUniqueName="[sales_data].[order_price].[All]" allUniqueName="[sales_data].[order_price].[All]" dimensionUniqueName="[sales_data]" displayFolder="" count="0" memberValueDatatype="20" unbalanced="0"/>
    <cacheHierarchy uniqueName="[sales_data].[is_expedited_delivery]" caption="is_expedited_delivery" attribute="1" defaultMemberUniqueName="[sales_data].[is_expedited_delivery].[All]" allUniqueName="[sales_data].[is_expedited_delivery].[All]" dimensionUniqueName="[sales_data]" displayFolder="" count="0" memberValueDatatype="11" unbalanced="0"/>
    <cacheHierarchy uniqueName="[sales_data].[distance_to_nearest_warehouse]" caption="distance_to_nearest_warehouse" attribute="1" defaultMemberUniqueName="[sales_data].[distance_to_nearest_warehouse].[All]" allUniqueName="[sales_data].[distance_to_nearest_warehouse].[All]" dimensionUniqueName="[sales_data]" displayFolder="" count="0" memberValueDatatype="5" unbalanced="0"/>
    <cacheHierarchy uniqueName="[sales_date].[date]" caption="date" attribute="1" time="1" defaultMemberUniqueName="[sales_date].[date].[All]" allUniqueName="[sales_date].[date].[All]" dimensionUniqueName="[sales_date]" displayFolder="" count="0" memberValueDatatype="7" unbalanced="0"/>
    <cacheHierarchy uniqueName="[sales_date].[Year]" caption="Year" attribute="1" defaultMemberUniqueName="[sales_date].[Year].[All]" allUniqueName="[sales_date].[Year].[All]" dimensionUniqueName="[sales_date]" displayFolder="" count="0" memberValueDatatype="20" unbalanced="0"/>
    <cacheHierarchy uniqueName="[sales_date].[Month]" caption="Month" attribute="1" defaultMemberUniqueName="[sales_date].[Month].[All]" allUniqueName="[sales_date].[Month].[All]" dimensionUniqueName="[sales_date]" displayFolder="" count="2" memberValueDatatype="20" unbalanced="0"/>
    <cacheHierarchy uniqueName="[sales_date].[Month Name]" caption="Month Name" attribute="1" defaultMemberUniqueName="[sales_date].[Month Name].[All]" allUniqueName="[sales_date].[Month Name].[All]" dimensionUniqueName="[sales_date]" displayFolder="" count="0" memberValueDatatype="130" unbalanced="0"/>
    <cacheHierarchy uniqueName="[sales_date].[Quarter]" caption="Quarter" attribute="1" defaultMemberUniqueName="[sales_date].[Quarter].[All]" allUniqueName="[sales_date].[Quarter].[All]" dimensionUniqueName="[sales_date]" displayFolder="" count="0" memberValueDatatype="130" unbalanced="0"/>
    <cacheHierarchy uniqueName="[warehouse_id].[Warehouse name]" caption="Warehouse name" attribute="1" defaultMemberUniqueName="[warehouse_id].[Warehouse name].[All]" allUniqueName="[warehouse_id].[Warehouse name].[All]" dimensionUniqueName="[warehouse_id]" displayFolder="" count="0" memberValueDatatype="130" unbalanced="0"/>
    <cacheHierarchy uniqueName="[warehouse_id].[warehouse id]" caption="warehouse id" attribute="1" defaultMemberUniqueName="[warehouse_id].[warehouse id].[All]" allUniqueName="[warehouse_id].[warehouse id].[All]" dimensionUniqueName="[warehouse_id]" displayFolder="" count="0" memberValueDatatype="130" unbalanced="0"/>
    <cacheHierarchy uniqueName="[Measures].[__XL_Count sales_data]" caption="__XL_Count sales_data" measure="1" displayFolder="" measureGroup="sales_data" count="0" hidden="1"/>
    <cacheHierarchy uniqueName="[Measures].[__XL_Count sales_date]" caption="__XL_Count sales_date" measure="1" displayFolder="" measureGroup="sales_date" count="0" hidden="1"/>
    <cacheHierarchy uniqueName="[Measures].[__XL_Count warehouse_id]" caption="__XL_Count warehouse_id" measure="1" displayFolder="" measureGroup="warehouse_id" count="0" hidden="1"/>
    <cacheHierarchy uniqueName="[Measures].[__No measures defined]" caption="__No measures defined" measure="1" displayFolder="" count="0" hidden="1"/>
    <cacheHierarchy uniqueName="[Measures].[Sum of total order total]" caption="Sum of total order total" measure="1" displayFolder="" measureGroup="sales_data" count="0" hidden="1">
      <extLst>
        <ext xmlns:x15="http://schemas.microsoft.com/office/spreadsheetml/2010/11/main" uri="{B97F6D7D-B522-45F9-BDA1-12C45D357490}">
          <x15:cacheHierarchy aggregatedColumn="4"/>
        </ext>
      </extLst>
    </cacheHierarchy>
    <cacheHierarchy uniqueName="[Measures].[Sum of total sales after dis]" caption="Sum of total sales after dis" measure="1" displayFolder="" measureGroup="sales_data" count="0" hidden="1">
      <extLst>
        <ext xmlns:x15="http://schemas.microsoft.com/office/spreadsheetml/2010/11/main" uri="{B97F6D7D-B522-45F9-BDA1-12C45D357490}">
          <x15:cacheHierarchy aggregatedColumn="5"/>
        </ext>
      </extLst>
    </cacheHierarchy>
    <cacheHierarchy uniqueName="[Measures].[Sum of rand discount]" caption="Sum of rand discount" measure="1" displayFolder="" measureGroup="sales_data" count="0" hidden="1">
      <extLst>
        <ext xmlns:x15="http://schemas.microsoft.com/office/spreadsheetml/2010/11/main" uri="{B97F6D7D-B522-45F9-BDA1-12C45D357490}">
          <x15:cacheHierarchy aggregatedColumn="6"/>
        </ext>
      </extLst>
    </cacheHierarchy>
    <cacheHierarchy uniqueName="[Measures].[Sum of Month]" caption="Sum of Month" measure="1" displayFolder="" measureGroup="sales_date" count="0" hidden="1">
      <extLst>
        <ext xmlns:x15="http://schemas.microsoft.com/office/spreadsheetml/2010/11/main" uri="{B97F6D7D-B522-45F9-BDA1-12C45D357490}">
          <x15:cacheHierarchy aggregatedColumn="15"/>
        </ext>
      </extLst>
    </cacheHierarchy>
    <cacheHierarchy uniqueName="[Measures].[Sum of discount %]" caption="Sum of discount %" measure="1" displayFolder="" measureGroup="sales_data" count="0" hidden="1">
      <extLst>
        <ext xmlns:x15="http://schemas.microsoft.com/office/spreadsheetml/2010/11/main" uri="{B97F6D7D-B522-45F9-BDA1-12C45D357490}">
          <x15:cacheHierarchy aggregatedColumn="7"/>
        </ext>
      </extLst>
    </cacheHierarchy>
    <cacheHierarchy uniqueName="[Measures].[Var of discount %]" caption="Var of discount %" measure="1" displayFolder="" measureGroup="sales_data"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sales_data" count="0" hidden="1">
      <extLst>
        <ext xmlns:x15="http://schemas.microsoft.com/office/spreadsheetml/2010/11/main" uri="{B97F6D7D-B522-45F9-BDA1-12C45D357490}">
          <x15:cacheHierarchy aggregatedColumn="1"/>
        </ext>
      </extLst>
    </cacheHierarchy>
    <cacheHierarchy uniqueName="[Measures].[Sum of delivery_charges]" caption="Sum of delivery_charges" measure="1" displayFolder="" measureGroup="sales_data" count="0" hidden="1">
      <extLst>
        <ext xmlns:x15="http://schemas.microsoft.com/office/spreadsheetml/2010/11/main" uri="{B97F6D7D-B522-45F9-BDA1-12C45D357490}">
          <x15:cacheHierarchy aggregatedColumn="9"/>
        </ext>
      </extLst>
    </cacheHierarchy>
    <cacheHierarchy uniqueName="[Measures].[Count of customer_id]" caption="Count of customer_id" measure="1" displayFolder="" measureGroup="sales_data" count="0" hidden="1">
      <extLst>
        <ext xmlns:x15="http://schemas.microsoft.com/office/spreadsheetml/2010/11/main" uri="{B97F6D7D-B522-45F9-BDA1-12C45D357490}">
          <x15:cacheHierarchy aggregatedColumn="2"/>
        </ext>
      </extLst>
    </cacheHierarchy>
    <cacheHierarchy uniqueName="[Measures].[Sum of order_price]" caption="Sum of order_price" measure="1" displayFolder="" measureGroup="sales_data" count="0" hidden="1">
      <extLst>
        <ext xmlns:x15="http://schemas.microsoft.com/office/spreadsheetml/2010/11/main" uri="{B97F6D7D-B522-45F9-BDA1-12C45D357490}">
          <x15:cacheHierarchy aggregatedColumn="10"/>
        </ext>
      </extLst>
    </cacheHierarchy>
    <cacheHierarchy uniqueName="[Measures].[Count of is_expedited_delivery]" caption="Count of is_expedited_delivery" measure="1" displayFolder="" measureGroup="sales_data" count="0" hidden="1">
      <extLst>
        <ext xmlns:x15="http://schemas.microsoft.com/office/spreadsheetml/2010/11/main" uri="{B97F6D7D-B522-45F9-BDA1-12C45D357490}">
          <x15:cacheHierarchy aggregatedColumn="11"/>
        </ext>
      </extLst>
    </cacheHierarchy>
    <cacheHierarchy uniqueName="[Measures].[Count of distance_to_nearest_warehouse]" caption="Count of distance_to_nearest_warehouse" measure="1" displayFolder="" measureGroup="sales_data" count="0" hidden="1">
      <extLst>
        <ext xmlns:x15="http://schemas.microsoft.com/office/spreadsheetml/2010/11/main" uri="{B97F6D7D-B522-45F9-BDA1-12C45D357490}">
          <x15:cacheHierarchy aggregatedColumn="12"/>
        </ext>
      </extLst>
    </cacheHierarchy>
    <cacheHierarchy uniqueName="[Measures].[Sum of distance_to_nearest_warehouse]" caption="Sum of distance_to_nearest_warehouse" measure="1" displayFolder="" measureGroup="sales_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5087604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6346B8-6548-45F3-9BC6-ACEFE08DA484}" name="PivotTable2" cacheId="1139"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compact="0" compactData="0" multipleFieldFilters="0">
  <location ref="B3:B4"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6D85F3-8178-4A76-80CB-3ED06173E6C8}" name="PivotTable9" cacheId="1157"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3">
  <location ref="R17:S20" firstHeaderRow="1" firstDataRow="1" firstDataCol="1"/>
  <pivotFields count="3">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x v="2"/>
    </i>
  </rowItems>
  <colItems count="1">
    <i/>
  </colItems>
  <dataFields count="1">
    <dataField name=" total order total" fld="1" baseField="0" baseItem="0" numFmtId="166"/>
  </dataFields>
  <formats count="1">
    <format dxfId="11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date].[Month].&amp;[3]"/>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total order total"/>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warehouse_id]"/>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71A8DE-88F9-473D-B349-D0003607DF50}" name="PivotTable1" cacheId="1142"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compact="0" compactData="0" multipleFieldFilters="0">
  <location ref="K2:M3" firstHeaderRow="0" firstDataRow="1" firstDataCol="1"/>
  <pivotFields count="4">
    <pivotField axis="axisRow" compact="0" allDrilled="1" outline="0" subtotalTop="0" showAll="0" sortType="ascending" defaultSubtotal="0" defaultAttributeDrillState="1">
      <items count="1">
        <item x="0"/>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
    <i>
      <x/>
    </i>
  </rowItems>
  <colFields count="1">
    <field x="-2"/>
  </colFields>
  <colItems count="2">
    <i>
      <x/>
    </i>
    <i i="1">
      <x v="1"/>
    </i>
  </colItems>
  <dataFields count="2">
    <dataField name=" order total2" fld="1" baseField="0" baseItem="0" numFmtId="165"/>
    <dataField name="Count of order_id" fld="2" subtotal="count" baseField="0" baseItem="0" numFmtId="1"/>
  </dataFields>
  <formats count="3">
    <format dxfId="115">
      <pivotArea outline="0" collapsedLevelsAreSubtotals="1" fieldPosition="0"/>
    </format>
    <format dxfId="114">
      <pivotArea dataOnly="0" labelOnly="1" outline="0" axis="axisValues" fieldPosition="0"/>
    </format>
    <format dxfId="113">
      <pivotArea outline="0" fieldPosition="0">
        <references count="1">
          <reference field="4294967294" count="1" selected="0">
            <x v="1"/>
          </reference>
        </references>
      </pivotArea>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date].[Month].&amp;[3]"/>
      </members>
    </pivotHierarchy>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total"/>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ED62BB-D5CC-4153-850A-106ABE269EB9}" name="PivotTable5" cacheId="863" applyNumberFormats="0" applyBorderFormats="0" applyFontFormats="0" applyPatternFormats="0" applyAlignmentFormats="0" applyWidthHeightFormats="1" dataCaption="Values" tag="4228fde5-7feb-4ab5-9ad2-6d8afa971e93" updatedVersion="7" minRefreshableVersion="3" useAutoFormatting="1" rowGrandTotals="0" colGrandTotals="0" itemPrintTitles="1" createdVersion="7" indent="0" compact="0" compactData="0" multipleFieldFilters="0" chartFormat="6">
  <location ref="P2:Q14" firstHeaderRow="1" firstDataRow="1" firstDataCol="1"/>
  <pivotFields count="2">
    <pivotField axis="axisRow" compact="0" allDrilled="1" outline="0" subtotalTop="0" showAll="0" sortType="ascending" defaultSubtotal="0" defaultAttributeDrillState="1">
      <items count="12">
        <item x="4"/>
        <item x="3"/>
        <item x="7"/>
        <item x="0"/>
        <item x="8"/>
        <item x="6"/>
        <item x="5"/>
        <item x="1"/>
        <item x="11"/>
        <item x="10"/>
        <item x="9"/>
        <item x="2"/>
      </items>
    </pivotField>
    <pivotField dataField="1" compact="0" outline="0" subtotalTop="0" showAll="0" defaultSubtotal="0"/>
  </pivotFields>
  <rowFields count="1">
    <field x="0"/>
  </rowFields>
  <rowItems count="12">
    <i>
      <x/>
    </i>
    <i>
      <x v="1"/>
    </i>
    <i>
      <x v="2"/>
    </i>
    <i>
      <x v="3"/>
    </i>
    <i>
      <x v="4"/>
    </i>
    <i>
      <x v="5"/>
    </i>
    <i>
      <x v="6"/>
    </i>
    <i>
      <x v="7"/>
    </i>
    <i>
      <x v="8"/>
    </i>
    <i>
      <x v="9"/>
    </i>
    <i>
      <x v="10"/>
    </i>
    <i>
      <x v="11"/>
    </i>
  </rowItems>
  <colItems count="1">
    <i/>
  </colItems>
  <dataFields count="1">
    <dataField name=" order total2" fld="1" baseField="0" baseItem="0" numFmtId="164"/>
  </dataFields>
  <formats count="2">
    <format dxfId="117">
      <pivotArea outline="0" collapsedLevelsAreSubtotals="1" fieldPosition="0"/>
    </format>
    <format dxfId="116">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total"/>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D41F3BE-F564-4987-BADC-469CEF0EA02F}" name="PivotTable7" cacheId="1151" applyNumberFormats="0" applyBorderFormats="0" applyFontFormats="0" applyPatternFormats="0" applyAlignmentFormats="0" applyWidthHeightFormats="1" dataCaption="Values" tag="5b487747-8fbd-4cc6-bd35-d5ebff7464c8" updatedVersion="7" minRefreshableVersion="3" useAutoFormatting="1" subtotalHiddenItems="1" itemPrintTitles="1" createdVersion="7" indent="0" compact="0" compactData="0" multipleFieldFilters="0">
  <location ref="K31:Q35" firstHeaderRow="1" firstDataRow="3" firstDataCol="1"/>
  <pivotFields count="5">
    <pivotField axis="axisRow" compact="0" allDrilled="1" outline="0" subtotalTop="0" showAll="0" sortType="ascending" defaultSubtotal="0" defaultAttributeDrillState="1">
      <items count="1">
        <item x="0"/>
      </items>
    </pivotField>
    <pivotField axis="axisCol"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t="grand">
      <x/>
    </i>
  </rowItems>
  <colFields count="2">
    <field x="1"/>
    <field x="-2"/>
  </colFields>
  <colItems count="6">
    <i>
      <x/>
      <x/>
    </i>
    <i r="1" i="1">
      <x v="1"/>
    </i>
    <i>
      <x v="1"/>
      <x/>
    </i>
    <i r="1" i="1">
      <x v="1"/>
    </i>
    <i t="grand">
      <x/>
    </i>
    <i t="grand" i="1">
      <x/>
    </i>
  </colItems>
  <dataFields count="2">
    <dataField name="Count of is_expedited_delivery" fld="2" subtotal="count" baseField="0" baseItem="0"/>
    <dataField name="Count of is_expedited_delivery2" fld="4" subtotal="count" showDataAs="percentOfRow" baseField="0" baseItem="0" numFmtId="10">
      <extLst>
        <ext xmlns:x14="http://schemas.microsoft.com/office/spreadsheetml/2009/9/main" uri="{E15A36E0-9728-4e99-A89B-3F7291B0FE68}">
          <x14:dataField sourceField="2" uniqueName="[__Xl2].[Measures].[Count of is_expedited_delivery]"/>
        </ext>
      </extLst>
    </dataField>
  </dataFields>
  <formats count="7">
    <format dxfId="124">
      <pivotArea dataOnly="0" labelOnly="1" outline="0" axis="axisValues" fieldPosition="0"/>
    </format>
    <format dxfId="123">
      <pivotArea outline="0" fieldPosition="0">
        <references count="1">
          <reference field="4294967294" count="1">
            <x v="0"/>
          </reference>
        </references>
      </pivotArea>
    </format>
    <format dxfId="122">
      <pivotArea outline="0" fieldPosition="0">
        <references count="1">
          <reference field="4294967294" count="1">
            <x v="1"/>
          </reference>
        </references>
      </pivotArea>
    </format>
    <format dxfId="121">
      <pivotArea outline="0" collapsedLevelsAreSubtotals="1" fieldPosition="0"/>
    </format>
    <format dxfId="120">
      <pivotArea outline="0" fieldPosition="0">
        <references count="2">
          <reference field="4294967294" count="1" selected="0">
            <x v="1"/>
          </reference>
          <reference field="1" count="1" selected="0">
            <x v="0"/>
          </reference>
        </references>
      </pivotArea>
    </format>
    <format dxfId="119">
      <pivotArea outline="0" fieldPosition="0">
        <references count="2">
          <reference field="4294967294" count="1" selected="0">
            <x v="1"/>
          </reference>
          <reference field="1" count="1" selected="0">
            <x v="1"/>
          </reference>
        </references>
      </pivotArea>
    </format>
    <format dxfId="118">
      <pivotArea outline="0" fieldPosition="0">
        <references count="2">
          <reference field="4294967294" count="1" selected="0">
            <x v="1"/>
          </reference>
          <reference field="1" count="1" selected="0">
            <x v="0"/>
          </reference>
        </references>
      </pivotArea>
    </format>
  </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date].[Month].&amp;[3]"/>
      </members>
    </pivotHierarchy>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total"/>
    <pivotHierarchy dragToData="1"/>
    <pivotHierarchy dragToData="1"/>
    <pivotHierarchy dragToData="1"/>
    <pivotHierarchy dragToData="1"/>
    <pivotHierarchy dragToData="1"/>
    <pivotHierarchy dragToData="1"/>
    <pivotHierarchy dragToData="1" caption=" delivery_charges"/>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2">
    <colHierarchyUsage hierarchyUsage="1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24C4B7-6FA2-4F3F-8D87-B2446391D697}" name="PivotTable8" cacheId="1154" applyNumberFormats="0" applyBorderFormats="0" applyFontFormats="0" applyPatternFormats="0" applyAlignmentFormats="0" applyWidthHeightFormats="1" dataCaption="Values" tag="5b487747-8fbd-4cc6-bd35-d5ebff7464c8" updatedVersion="7" minRefreshableVersion="3" useAutoFormatting="1" subtotalHiddenItems="1" rowGrandTotals="0" colGrandTotals="0" itemPrintTitles="1" createdVersion="7" indent="0" compact="0" compactData="0" multipleFieldFilters="0">
  <location ref="K48:L49" firstHeaderRow="1" firstDataRow="1" firstDataCol="1"/>
  <pivotFields count="3">
    <pivotField axis="axisRow" compact="0" allDrilled="1" outline="0" subtotalTop="0" showAll="0" sortType="ascending"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
    <i>
      <x/>
    </i>
  </rowItems>
  <colItems count="1">
    <i/>
  </colItems>
  <dataFields count="1">
    <dataField name="Sum of distance_to_nearest_warehouse" fld="1" baseField="0" baseItem="4"/>
  </dataFields>
  <formats count="2">
    <format dxfId="126">
      <pivotArea dataOnly="0" labelOnly="1" outline="0" axis="axisValues" fieldPosition="0"/>
    </format>
    <format dxfId="125">
      <pivotArea outline="0" collapsedLevelsAreSubtotals="1" fieldPosition="0"/>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date].[Month].&amp;[3]"/>
      </members>
    </pivotHierarchy>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total"/>
    <pivotHierarchy dragToData="1"/>
    <pivotHierarchy dragToData="1"/>
    <pivotHierarchy dragToData="1"/>
    <pivotHierarchy dragToData="1"/>
    <pivotHierarchy dragToData="1"/>
    <pivotHierarchy dragToData="1"/>
    <pivotHierarchy dragToData="1" caption=" delivery_charges"/>
    <pivotHierarchy dragToData="1"/>
    <pivotHierarchy dragToData="1"/>
    <pivotHierarchy dragToData="1"/>
    <pivotHierarchy dragToData="1"/>
    <pivotHierarchy dragToData="1" caption="Sum of distance_to_nearest_warehouse"/>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9A80344-90E1-4932-9731-F16D0DCF79C2}" name="PivotTable3" cacheId="1145"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compact="0" compactData="0" multipleFieldFilters="0" chartFormat="6">
  <location ref="S2:T3" firstHeaderRow="1" firstDataRow="1" firstDataCol="1"/>
  <pivotFields count="3">
    <pivotField axis="axisRow" compact="0" allDrilled="1" outline="0" subtotalTop="0" showAll="0" sortType="ascending"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
    <i>
      <x/>
    </i>
  </rowItems>
  <colItems count="1">
    <i/>
  </colItems>
  <dataFields count="1">
    <dataField name="Sum of rand discount" fld="1" baseField="0" baseItem="0"/>
  </dataFields>
  <formats count="2">
    <format dxfId="128">
      <pivotArea outline="0" collapsedLevelsAreSubtotals="1" fieldPosition="0"/>
    </format>
    <format dxfId="127">
      <pivotArea dataOnly="0" labelOnly="1" outline="0" axis="axisValues" fieldPosition="0"/>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date].[Month].&amp;[3]"/>
      </members>
    </pivotHierarchy>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total"/>
    <pivotHierarchy dragToData="1"/>
    <pivotHierarchy dragToData="1"/>
    <pivotHierarchy dragToData="1"/>
    <pivotHierarchy dragToData="1"/>
    <pivotHierarchy dragToData="1" caption="Var of discount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26AC713-2237-4202-AA71-CA3D10A80B3D}" name="PivotTable4" cacheId="1148" applyNumberFormats="0" applyBorderFormats="0" applyFontFormats="0" applyPatternFormats="0" applyAlignmentFormats="0" applyWidthHeightFormats="1" dataCaption="Values" tag="5b487747-8fbd-4cc6-bd35-d5ebff7464c8" updatedVersion="7" minRefreshableVersion="3" useAutoFormatting="1" subtotalHiddenItems="1" rowGrandTotals="0" colGrandTotals="0" itemPrintTitles="1" createdVersion="7" indent="0" compact="0" compactData="0" multipleFieldFilters="0">
  <location ref="K17:M18" firstHeaderRow="0" firstDataRow="1" firstDataCol="1"/>
  <pivotFields count="4">
    <pivotField axis="axisRow" compact="0" allDrilled="1" outline="0" subtotalTop="0" showAll="0" sortType="ascending" defaultSubtotal="0" defaultAttributeDrillState="1">
      <items count="1">
        <item x="0"/>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
    <i>
      <x/>
    </i>
  </rowItems>
  <colFields count="1">
    <field x="-2"/>
  </colFields>
  <colItems count="2">
    <i>
      <x/>
    </i>
    <i i="1">
      <x v="1"/>
    </i>
  </colItems>
  <dataFields count="2">
    <dataField name=" order total2" fld="1" baseField="0" baseItem="0" numFmtId="165"/>
    <dataField name=" delivery_charges" fld="2" baseField="0" baseItem="0"/>
  </dataFields>
  <formats count="2">
    <format dxfId="130">
      <pivotArea outline="0" collapsedLevelsAreSubtotals="1" fieldPosition="0"/>
    </format>
    <format dxfId="129">
      <pivotArea dataOnly="0" labelOnly="1" outline="0" axis="axisValues" fieldPosition="0"/>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date].[Month].&amp;[3]"/>
      </members>
    </pivotHierarchy>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total"/>
    <pivotHierarchy dragToData="1"/>
    <pivotHierarchy dragToData="1"/>
    <pivotHierarchy dragToData="1"/>
    <pivotHierarchy dragToData="1"/>
    <pivotHierarchy dragToData="1"/>
    <pivotHierarchy dragToData="1"/>
    <pivotHierarchy dragToData="1" caption=" delivery_charge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12E4265-DA28-42C5-ACC3-584181F282ED}" name="PivotTable6" cacheId="860" applyNumberFormats="0" applyBorderFormats="0" applyFontFormats="0" applyPatternFormats="0" applyAlignmentFormats="0" applyWidthHeightFormats="1" dataCaption="Values" tag="4ff9aa1a-9def-4db3-b367-81ba6bee5a5f" updatedVersion="7" minRefreshableVersion="3" useAutoFormatting="1" subtotalHiddenItems="1" rowGrandTotals="0" colGrandTotals="0" itemPrintTitles="1" createdVersion="7" indent="0" compact="0" compactData="0" multipleFieldFilters="0" chartFormat="3">
  <location ref="O17:P21" firstHeaderRow="1" firstDataRow="1" firstDataCol="1"/>
  <pivotFields count="4">
    <pivotField compact="0" allDrilled="1" outline="0" subtotalTop="0" showAll="0" sortType="ascending" defaultSubtotal="0" defaultAttributeDrillState="1">
      <items count="12">
        <item x="4"/>
        <item x="3"/>
        <item x="7"/>
        <item x="0"/>
        <item x="8"/>
        <item x="6"/>
        <item x="5"/>
        <item x="1"/>
        <item x="11"/>
        <item x="10"/>
        <item x="9"/>
        <item x="2"/>
      </items>
    </pivotField>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4">
    <i>
      <x/>
    </i>
    <i>
      <x v="1"/>
    </i>
    <i>
      <x v="2"/>
    </i>
    <i>
      <x v="3"/>
    </i>
  </rowItems>
  <colItems count="1">
    <i/>
  </colItems>
  <dataFields count="1">
    <dataField name=" order_price" fld="2" baseField="0" baseItem="0" numFmtId="164"/>
  </dataFields>
  <formats count="2">
    <format dxfId="132">
      <pivotArea dataOnly="0" labelOnly="1" outline="0" axis="axisValues" fieldPosition="0"/>
    </format>
    <format dxfId="131">
      <pivotArea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0"/>
          </reference>
        </references>
      </pivotArea>
    </chartFormat>
  </chart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date].[Month].&amp;[3]"/>
      </members>
    </pivotHierarchy>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total"/>
    <pivotHierarchy dragToData="1"/>
    <pivotHierarchy dragToData="1"/>
    <pivotHierarchy dragToData="1"/>
    <pivotHierarchy dragToData="1"/>
    <pivotHierarchy dragToData="1"/>
    <pivotHierarchy dragToData="1"/>
    <pivotHierarchy dragToData="1"/>
    <pivotHierarchy dragToData="1"/>
    <pivotHierarchy dragToData="1" caption=" order_pric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ales_dat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64DA4273-B7CF-400B-BDB2-38AAC2D2C66C}" autoFormatId="16" applyNumberFormats="0" applyBorderFormats="0" applyFontFormats="0" applyPatternFormats="0" applyAlignmentFormats="0" applyWidthHeightFormats="0">
  <queryTableRefresh nextId="15">
    <queryTableFields count="13">
      <queryTableField id="1" name="date" tableColumnId="1"/>
      <queryTableField id="2" name="order_id" tableColumnId="2"/>
      <queryTableField id="3" name="customer_id" tableColumnId="3"/>
      <queryTableField id="4" name="warehouse id" tableColumnId="4"/>
      <queryTableField id="5" name="total order total" tableColumnId="5"/>
      <queryTableField id="6" name="total sales after dis" tableColumnId="6"/>
      <queryTableField id="7" name="rand discount" tableColumnId="7"/>
      <queryTableField id="13" dataBound="0" tableColumnId="13"/>
      <queryTableField id="8" name="coupon_discount" tableColumnId="8"/>
      <queryTableField id="9" name="delivery_charges" tableColumnId="9"/>
      <queryTableField id="10" name="order_price" tableColumnId="10"/>
      <queryTableField id="11" name="is_expedited_delivery" tableColumnId="11"/>
      <queryTableField id="12" name="distance_to_nearest_warehouse"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4" xr16:uid="{76D58173-A5DC-4A35-9E6C-08CD834E98A5}" autoFormatId="16" applyNumberFormats="0" applyBorderFormats="0" applyFontFormats="0" applyPatternFormats="0" applyAlignmentFormats="0" applyWidthHeightFormats="0">
  <queryTableRefresh nextId="6">
    <queryTableFields count="5">
      <queryTableField id="1" name="date" tableColumnId="1"/>
      <queryTableField id="2" name="Year" tableColumnId="2"/>
      <queryTableField id="3" name="Month" tableColumnId="3"/>
      <queryTableField id="4" name="Month Name" tableColumnId="4"/>
      <queryTableField id="5" name="Quarter"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5" xr16:uid="{CAB41E7F-C6A7-4FE5-B478-A80B03C45DE2}" autoFormatId="16" applyNumberFormats="0" applyBorderFormats="0" applyFontFormats="0" applyPatternFormats="0" applyAlignmentFormats="0" applyWidthHeightFormats="0">
  <queryTableRefresh nextId="3">
    <queryTableFields count="2">
      <queryTableField id="1" name="Warehouse name" tableColumnId="1"/>
      <queryTableField id="2" name="warehouse id"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EF83B32-2FD7-4F47-81EF-0FB6AC7C93B8}" sourceName="[sales_date].[Month]">
  <pivotTables>
    <pivotTable tabId="15" name="PivotTable2"/>
    <pivotTable tabId="15" name="PivotTable1"/>
    <pivotTable tabId="15" name="PivotTable3"/>
    <pivotTable tabId="15" name="PivotTable4"/>
    <pivotTable tabId="15" name="PivotTable7"/>
    <pivotTable tabId="15" name="PivotTable8"/>
    <pivotTable tabId="15" name="PivotTable9"/>
  </pivotTables>
  <data>
    <olap pivotCacheId="1508760457">
      <levels count="2">
        <level uniqueName="[sales_date].[Month].[(All)]" sourceCaption="(All)" count="0"/>
        <level uniqueName="[sales_date].[Month].[Month]" sourceCaption="Month" count="12">
          <ranges>
            <range startItem="0">
              <i n="[sales_date].[Month].&amp;[1]" c="1"/>
              <i n="[sales_date].[Month].&amp;[2]" c="2"/>
              <i n="[sales_date].[Month].&amp;[3]" c="3"/>
              <i n="[sales_date].[Month].&amp;[4]" c="4"/>
              <i n="[sales_date].[Month].&amp;[5]" c="5"/>
              <i n="[sales_date].[Month].&amp;[6]" c="6"/>
              <i n="[sales_date].[Month].&amp;[7]" c="7"/>
              <i n="[sales_date].[Month].&amp;[8]" c="8"/>
              <i n="[sales_date].[Month].&amp;[9]" c="9"/>
              <i n="[sales_date].[Month].&amp;[10]" c="10"/>
              <i n="[sales_date].[Month].&amp;[11]" c="11"/>
              <i n="[sales_date].[Month].&amp;[12]" c="12"/>
            </range>
          </ranges>
        </level>
      </levels>
      <selections count="1">
        <selection n="[sales_date].[Month].&amp;[3]"/>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F0868DC-BC69-4C55-868A-DB4C2ECB4CA4}" cache="Slicer_Month" caption="Month" columnCount="6" showCaption="0"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99D944-0AFB-4C51-9D2A-6277C1FDE318}" name="sales_data" displayName="sales_data" ref="A1:M501" tableType="queryTable" totalsRowShown="0">
  <autoFilter ref="A1:M501" xr:uid="{2A99D944-0AFB-4C51-9D2A-6277C1FDE318}"/>
  <tableColumns count="13">
    <tableColumn id="1" xr3:uid="{20582617-1CCB-4E99-B131-E29DF0321BC4}" uniqueName="1" name="date" queryTableFieldId="1" dataDxfId="111"/>
    <tableColumn id="2" xr3:uid="{BA69470E-BA8D-4732-AEC8-C0A3E99E035F}" uniqueName="2" name="order_id" queryTableFieldId="2" dataDxfId="110"/>
    <tableColumn id="3" xr3:uid="{FD067CDF-39A7-4DA0-8E56-7C6D59E8DD9F}" uniqueName="3" name="customer_id" queryTableFieldId="3" dataDxfId="109"/>
    <tableColumn id="4" xr3:uid="{52C85C42-E79C-4D07-91C3-44762DD0F593}" uniqueName="4" name="warehouse id" queryTableFieldId="4"/>
    <tableColumn id="5" xr3:uid="{429873B4-DB88-4B9E-8346-595F35170BE6}" uniqueName="5" name="total order total" queryTableFieldId="5"/>
    <tableColumn id="6" xr3:uid="{AAEB3DD8-7A81-4250-A905-429ADD69A7AE}" uniqueName="6" name="total sales after dis" queryTableFieldId="6"/>
    <tableColumn id="7" xr3:uid="{C79B4E13-A37C-453A-A423-24ACAC4C8BE9}" uniqueName="7" name="rand discount" queryTableFieldId="7"/>
    <tableColumn id="13" xr3:uid="{3ED85D39-D718-42EA-A62E-537F9E91BE58}" uniqueName="13" name="discount %" queryTableFieldId="13" dataDxfId="108" dataCellStyle="Percent">
      <calculatedColumnFormula>SUM(sales_data[[#This Row],[rand discount]]/sales_data[[#This Row],[total order total]])</calculatedColumnFormula>
    </tableColumn>
    <tableColumn id="8" xr3:uid="{2953957A-F601-47B4-A3B9-106998C31BE2}" uniqueName="8" name="coupon_discount" queryTableFieldId="8"/>
    <tableColumn id="9" xr3:uid="{F00C361D-0D2B-4F24-AEE9-5C2901DBD5F9}" uniqueName="9" name="delivery_charges" queryTableFieldId="9"/>
    <tableColumn id="10" xr3:uid="{885315FA-98A6-4495-B978-B4EEF5F339B0}" uniqueName="10" name="order_price" queryTableFieldId="10"/>
    <tableColumn id="11" xr3:uid="{C99D8A1D-3168-496A-A04D-20BEB000E34A}" uniqueName="11" name="is_expedited_delivery" queryTableFieldId="11"/>
    <tableColumn id="12" xr3:uid="{1D647A88-5FBF-4946-9177-51C19BCD8602}" uniqueName="12" name="distance_to_nearest_warehouse" queryTableFieldId="12" dataDxfId="10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518FC3-08E2-4C04-9315-D96B57FD8C5F}" name="sales_date" displayName="sales_date" ref="A1:E366" tableType="queryTable" totalsRowShown="0">
  <autoFilter ref="A1:E366" xr:uid="{BE518FC3-08E2-4C04-9315-D96B57FD8C5F}"/>
  <tableColumns count="5">
    <tableColumn id="1" xr3:uid="{42F8C9B1-0B5B-4D8B-8CF4-D4C38AE3B994}" uniqueName="1" name="date" queryTableFieldId="1" dataDxfId="106"/>
    <tableColumn id="2" xr3:uid="{1F58F086-586F-4A0E-A378-C57DCDFC6498}" uniqueName="2" name="Year" queryTableFieldId="2"/>
    <tableColumn id="3" xr3:uid="{DC03EF90-6738-47F6-91D0-8925382E4A6B}" uniqueName="3" name="Month" queryTableFieldId="3"/>
    <tableColumn id="4" xr3:uid="{76B7D60E-231A-4818-BE1C-4445341A4E59}" uniqueName="4" name="Month Name" queryTableFieldId="4" dataDxfId="105"/>
    <tableColumn id="5" xr3:uid="{738EF301-6806-488E-B940-C0BC1683209B}" uniqueName="5" name="Quarter" queryTableFieldId="5" dataDxfId="10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FBD71F2-A882-41DF-8C25-7AE467ABF21B}" name="warehouse_id" displayName="warehouse_id" ref="A1:B4" tableType="queryTable" totalsRowShown="0">
  <autoFilter ref="A1:B4" xr:uid="{EFBD71F2-A882-41DF-8C25-7AE467ABF21B}"/>
  <tableColumns count="2">
    <tableColumn id="1" xr3:uid="{E0597A94-B031-4C37-A375-9DA8B09EA96A}" uniqueName="1" name="Warehouse name" queryTableFieldId="1" dataDxfId="103"/>
    <tableColumn id="2" xr3:uid="{F21EFC37-EDFB-453F-BB9A-B813CA7E4CC1}" uniqueName="2" name="warehouse id" queryTableFieldId="2" dataDxfId="10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4D2B-C623-4A58-B90A-A8E101CC4B16}">
  <sheetPr codeName="Sheet1"/>
  <dimension ref="B2:T5880"/>
  <sheetViews>
    <sheetView topLeftCell="F16" workbookViewId="0">
      <selection activeCell="H32" sqref="H32"/>
    </sheetView>
  </sheetViews>
  <sheetFormatPr defaultRowHeight="15" x14ac:dyDescent="0.25"/>
  <cols>
    <col min="2" max="2" width="9.28515625" bestFit="1" customWidth="1"/>
    <col min="3" max="4" width="3" bestFit="1" customWidth="1"/>
    <col min="5" max="5" width="12.7109375" bestFit="1" customWidth="1"/>
    <col min="7" max="7" width="21.5703125" customWidth="1"/>
    <col min="8" max="8" width="11" bestFit="1" customWidth="1"/>
    <col min="11" max="11" width="15" bestFit="1" customWidth="1"/>
    <col min="12" max="12" width="37.28515625" style="7" bestFit="1" customWidth="1"/>
    <col min="13" max="15" width="30.5703125" bestFit="1" customWidth="1"/>
    <col min="16" max="16" width="34.5703125" bestFit="1" customWidth="1"/>
    <col min="17" max="17" width="35.5703125" style="5" bestFit="1" customWidth="1"/>
    <col min="18" max="18" width="19.140625" bestFit="1" customWidth="1"/>
    <col min="19" max="19" width="15.5703125" bestFit="1" customWidth="1"/>
    <col min="20" max="20" width="19.85546875" bestFit="1" customWidth="1"/>
    <col min="21" max="27" width="6.5703125" bestFit="1" customWidth="1"/>
    <col min="28" max="28" width="5.5703125" bestFit="1" customWidth="1"/>
    <col min="29" max="31" width="6.5703125" bestFit="1" customWidth="1"/>
    <col min="32" max="32" width="5.5703125" bestFit="1" customWidth="1"/>
    <col min="33" max="34" width="6.5703125" bestFit="1" customWidth="1"/>
    <col min="35" max="35" width="5.5703125" bestFit="1" customWidth="1"/>
    <col min="36" max="46" width="6.5703125" bestFit="1" customWidth="1"/>
    <col min="47" max="47" width="4.5703125" bestFit="1" customWidth="1"/>
    <col min="48" max="49" width="6.5703125" bestFit="1" customWidth="1"/>
    <col min="50" max="50" width="3.5703125" bestFit="1" customWidth="1"/>
    <col min="51" max="51" width="6.5703125" bestFit="1" customWidth="1"/>
    <col min="52" max="52" width="5.5703125" bestFit="1" customWidth="1"/>
    <col min="53" max="67" width="6.5703125" bestFit="1" customWidth="1"/>
    <col min="68" max="68" width="5.5703125" bestFit="1" customWidth="1"/>
    <col min="69" max="93" width="6.5703125" bestFit="1" customWidth="1"/>
    <col min="94" max="94" width="5.5703125" bestFit="1" customWidth="1"/>
    <col min="95" max="101" width="6.5703125" bestFit="1" customWidth="1"/>
    <col min="102" max="102" width="5.5703125" bestFit="1" customWidth="1"/>
    <col min="103" max="114" width="6.5703125" bestFit="1" customWidth="1"/>
    <col min="115" max="115" width="5.5703125" bestFit="1" customWidth="1"/>
    <col min="116" max="142" width="6.5703125" bestFit="1" customWidth="1"/>
    <col min="143" max="143" width="5.5703125" bestFit="1" customWidth="1"/>
    <col min="144" max="145" width="6.5703125" bestFit="1" customWidth="1"/>
    <col min="146" max="146" width="5.5703125" bestFit="1" customWidth="1"/>
    <col min="147" max="151" width="6.5703125" bestFit="1" customWidth="1"/>
    <col min="152" max="152" width="5.5703125" bestFit="1" customWidth="1"/>
    <col min="153" max="164" width="6.5703125" bestFit="1" customWidth="1"/>
    <col min="165" max="165" width="5.5703125" bestFit="1" customWidth="1"/>
    <col min="166" max="172" width="6.5703125" bestFit="1" customWidth="1"/>
    <col min="173" max="173" width="5.5703125" bestFit="1" customWidth="1"/>
    <col min="174" max="176" width="6.5703125" bestFit="1" customWidth="1"/>
    <col min="177" max="177" width="5.5703125" bestFit="1" customWidth="1"/>
    <col min="178" max="185" width="6.5703125" bestFit="1" customWidth="1"/>
    <col min="186" max="186" width="5.5703125" bestFit="1" customWidth="1"/>
    <col min="187" max="204" width="6.5703125" bestFit="1" customWidth="1"/>
    <col min="205" max="205" width="5.5703125" bestFit="1" customWidth="1"/>
    <col min="206" max="238" width="6.5703125" bestFit="1" customWidth="1"/>
    <col min="239" max="239" width="5.5703125" bestFit="1" customWidth="1"/>
    <col min="240" max="258" width="6.5703125" bestFit="1" customWidth="1"/>
    <col min="259" max="260" width="5.5703125" bestFit="1" customWidth="1"/>
    <col min="261" max="262" width="6.5703125" bestFit="1" customWidth="1"/>
    <col min="263" max="263" width="5.5703125" bestFit="1" customWidth="1"/>
    <col min="264" max="273" width="6.5703125" bestFit="1" customWidth="1"/>
    <col min="274" max="274" width="5.5703125" bestFit="1" customWidth="1"/>
    <col min="275" max="280" width="6.5703125" bestFit="1" customWidth="1"/>
    <col min="281" max="281" width="5.5703125" bestFit="1" customWidth="1"/>
    <col min="282" max="289" width="6.5703125" bestFit="1" customWidth="1"/>
    <col min="290" max="290" width="5.5703125" bestFit="1" customWidth="1"/>
    <col min="291" max="298" width="6.5703125" bestFit="1" customWidth="1"/>
    <col min="299" max="299" width="5.5703125" bestFit="1" customWidth="1"/>
    <col min="300" max="308" width="6.5703125" bestFit="1" customWidth="1"/>
    <col min="309" max="309" width="5.5703125" bestFit="1" customWidth="1"/>
    <col min="310" max="316" width="6.5703125" bestFit="1" customWidth="1"/>
    <col min="317" max="317" width="5.5703125" bestFit="1" customWidth="1"/>
    <col min="318" max="326" width="6.5703125" bestFit="1" customWidth="1"/>
    <col min="327" max="327" width="5.5703125" bestFit="1" customWidth="1"/>
    <col min="328" max="335" width="6.5703125" bestFit="1" customWidth="1"/>
    <col min="336" max="336" width="4.5703125" bestFit="1" customWidth="1"/>
    <col min="337" max="337" width="6.5703125" bestFit="1" customWidth="1"/>
    <col min="338" max="338" width="5.5703125" bestFit="1" customWidth="1"/>
    <col min="339" max="339" width="3.5703125" bestFit="1" customWidth="1"/>
    <col min="340" max="343" width="6.5703125" bestFit="1" customWidth="1"/>
    <col min="344" max="344" width="5.5703125" bestFit="1" customWidth="1"/>
    <col min="345" max="350" width="6.5703125" bestFit="1" customWidth="1"/>
    <col min="351" max="352" width="5.5703125" bestFit="1" customWidth="1"/>
    <col min="353" max="359" width="6.5703125" bestFit="1" customWidth="1"/>
    <col min="360" max="360" width="5.5703125" bestFit="1" customWidth="1"/>
    <col min="361" max="361" width="6.5703125" bestFit="1" customWidth="1"/>
    <col min="362" max="363" width="5.5703125" bestFit="1" customWidth="1"/>
    <col min="364" max="364" width="6.5703125" bestFit="1" customWidth="1"/>
    <col min="365" max="365" width="5.5703125" bestFit="1" customWidth="1"/>
    <col min="366" max="376" width="6.5703125" bestFit="1" customWidth="1"/>
    <col min="377" max="377" width="5.5703125" bestFit="1" customWidth="1"/>
    <col min="378" max="387" width="6.5703125" bestFit="1" customWidth="1"/>
    <col min="388" max="389" width="5.5703125" bestFit="1" customWidth="1"/>
    <col min="390" max="390" width="6.5703125" bestFit="1" customWidth="1"/>
    <col min="391" max="391" width="5.5703125" bestFit="1" customWidth="1"/>
    <col min="392" max="394" width="6.5703125" bestFit="1" customWidth="1"/>
    <col min="395" max="395" width="4.5703125" bestFit="1" customWidth="1"/>
    <col min="396" max="407" width="6.5703125" bestFit="1" customWidth="1"/>
    <col min="408" max="409" width="5.5703125" bestFit="1" customWidth="1"/>
    <col min="410" max="423" width="6.5703125" bestFit="1" customWidth="1"/>
    <col min="424" max="424" width="4.5703125" bestFit="1" customWidth="1"/>
    <col min="425" max="427" width="6.5703125" bestFit="1" customWidth="1"/>
    <col min="428" max="428" width="5.5703125" bestFit="1" customWidth="1"/>
    <col min="429" max="461" width="6.5703125" bestFit="1" customWidth="1"/>
    <col min="462" max="463" width="5.5703125" bestFit="1" customWidth="1"/>
    <col min="464" max="466" width="6.5703125" bestFit="1" customWidth="1"/>
    <col min="467" max="467" width="5.5703125" bestFit="1" customWidth="1"/>
    <col min="468" max="488" width="6.5703125" bestFit="1" customWidth="1"/>
    <col min="489" max="497" width="7.5703125" bestFit="1" customWidth="1"/>
  </cols>
  <sheetData>
    <row r="2" spans="2:20" x14ac:dyDescent="0.25">
      <c r="K2" s="3" t="s">
        <v>1010</v>
      </c>
      <c r="L2" t="s">
        <v>1033</v>
      </c>
      <c r="M2" t="s">
        <v>1040</v>
      </c>
      <c r="P2" s="3" t="s">
        <v>1010</v>
      </c>
      <c r="Q2" s="5" t="s">
        <v>1033</v>
      </c>
      <c r="S2" s="3" t="s">
        <v>1010</v>
      </c>
      <c r="T2" s="5" t="s">
        <v>1036</v>
      </c>
    </row>
    <row r="3" spans="2:20" x14ac:dyDescent="0.25">
      <c r="B3" s="3" t="s">
        <v>1009</v>
      </c>
      <c r="E3" t="str">
        <f>VLOOKUP(B4,F3:G14,2,FALSE)</f>
        <v>March</v>
      </c>
      <c r="F3">
        <v>1</v>
      </c>
      <c r="G3" t="s">
        <v>1012</v>
      </c>
      <c r="K3" t="s">
        <v>1015</v>
      </c>
      <c r="L3" s="7">
        <v>973826.64</v>
      </c>
      <c r="M3" s="9">
        <v>41</v>
      </c>
      <c r="P3" t="s">
        <v>1012</v>
      </c>
      <c r="Q3" s="5">
        <v>704830.67</v>
      </c>
      <c r="S3" t="s">
        <v>1015</v>
      </c>
      <c r="T3" s="5">
        <v>219521.75</v>
      </c>
    </row>
    <row r="4" spans="2:20" x14ac:dyDescent="0.25">
      <c r="B4">
        <v>3</v>
      </c>
      <c r="F4">
        <v>2</v>
      </c>
      <c r="G4" t="s">
        <v>1014</v>
      </c>
      <c r="L4"/>
      <c r="P4" t="s">
        <v>1014</v>
      </c>
      <c r="Q4" s="5">
        <v>1145858.4099999999</v>
      </c>
    </row>
    <row r="5" spans="2:20" x14ac:dyDescent="0.25">
      <c r="E5" t="str">
        <f>IF(COUNTA(B4:B15)&gt;1,"Select Month",E3)</f>
        <v>March</v>
      </c>
      <c r="F5">
        <v>3</v>
      </c>
      <c r="G5" t="s">
        <v>1015</v>
      </c>
      <c r="L5"/>
      <c r="P5" t="s">
        <v>1015</v>
      </c>
      <c r="Q5" s="5">
        <v>973826.64</v>
      </c>
    </row>
    <row r="6" spans="2:20" x14ac:dyDescent="0.25">
      <c r="F6">
        <v>4</v>
      </c>
      <c r="G6" t="s">
        <v>1016</v>
      </c>
      <c r="L6"/>
      <c r="P6" t="s">
        <v>1016</v>
      </c>
      <c r="Q6" s="5">
        <v>593874.15</v>
      </c>
    </row>
    <row r="7" spans="2:20" x14ac:dyDescent="0.25">
      <c r="F7">
        <v>5</v>
      </c>
      <c r="G7" t="s">
        <v>1018</v>
      </c>
      <c r="L7"/>
      <c r="P7" t="s">
        <v>1018</v>
      </c>
      <c r="Q7" s="5">
        <v>525597.63</v>
      </c>
    </row>
    <row r="8" spans="2:20" x14ac:dyDescent="0.25">
      <c r="F8">
        <v>6</v>
      </c>
      <c r="G8" t="s">
        <v>1019</v>
      </c>
      <c r="L8"/>
      <c r="P8" t="s">
        <v>1019</v>
      </c>
      <c r="Q8" s="5">
        <v>1116531.17</v>
      </c>
    </row>
    <row r="9" spans="2:20" x14ac:dyDescent="0.25">
      <c r="F9">
        <v>7</v>
      </c>
      <c r="G9" t="s">
        <v>1020</v>
      </c>
      <c r="L9"/>
      <c r="P9" t="s">
        <v>1020</v>
      </c>
      <c r="Q9" s="5">
        <v>408698.34</v>
      </c>
    </row>
    <row r="10" spans="2:20" x14ac:dyDescent="0.25">
      <c r="F10">
        <v>8</v>
      </c>
      <c r="G10" t="s">
        <v>1022</v>
      </c>
      <c r="L10"/>
      <c r="P10" t="s">
        <v>1022</v>
      </c>
      <c r="Q10" s="5">
        <v>1328003.76</v>
      </c>
    </row>
    <row r="11" spans="2:20" x14ac:dyDescent="0.25">
      <c r="F11">
        <v>9</v>
      </c>
      <c r="G11" t="s">
        <v>1023</v>
      </c>
      <c r="L11"/>
      <c r="P11" t="s">
        <v>1023</v>
      </c>
      <c r="Q11" s="5">
        <v>929867.07</v>
      </c>
    </row>
    <row r="12" spans="2:20" x14ac:dyDescent="0.25">
      <c r="F12">
        <v>10</v>
      </c>
      <c r="G12" t="s">
        <v>1024</v>
      </c>
      <c r="L12"/>
      <c r="P12" t="s">
        <v>1024</v>
      </c>
      <c r="Q12" s="5">
        <v>652845.17000000004</v>
      </c>
    </row>
    <row r="13" spans="2:20" x14ac:dyDescent="0.25">
      <c r="F13">
        <v>11</v>
      </c>
      <c r="G13" t="s">
        <v>1026</v>
      </c>
      <c r="L13"/>
      <c r="P13" t="s">
        <v>1026</v>
      </c>
      <c r="Q13" s="5">
        <v>516703.85</v>
      </c>
    </row>
    <row r="14" spans="2:20" x14ac:dyDescent="0.25">
      <c r="F14">
        <v>12</v>
      </c>
      <c r="G14" t="s">
        <v>1027</v>
      </c>
      <c r="L14"/>
      <c r="P14" t="s">
        <v>1027</v>
      </c>
      <c r="Q14" s="5">
        <v>2385645.69</v>
      </c>
    </row>
    <row r="15" spans="2:20" x14ac:dyDescent="0.25">
      <c r="L15"/>
    </row>
    <row r="17" spans="7:19" x14ac:dyDescent="0.25">
      <c r="G17" t="s">
        <v>1034</v>
      </c>
      <c r="H17" s="5">
        <f>SUM(L3:L14)</f>
        <v>973826.64</v>
      </c>
      <c r="K17" s="3" t="s">
        <v>1010</v>
      </c>
      <c r="L17" t="s">
        <v>1033</v>
      </c>
      <c r="M17" t="s">
        <v>1043</v>
      </c>
      <c r="O17" s="3" t="s">
        <v>1011</v>
      </c>
      <c r="P17" s="7" t="s">
        <v>1044</v>
      </c>
      <c r="Q17"/>
      <c r="R17" s="3" t="s">
        <v>1029</v>
      </c>
      <c r="S17" t="s">
        <v>1045</v>
      </c>
    </row>
    <row r="18" spans="7:19" x14ac:dyDescent="0.25">
      <c r="K18" t="s">
        <v>1015</v>
      </c>
      <c r="L18" s="7">
        <v>973826.64</v>
      </c>
      <c r="M18" s="7">
        <v>2811.39</v>
      </c>
      <c r="O18" t="s">
        <v>1013</v>
      </c>
      <c r="P18" s="5">
        <v>3243804</v>
      </c>
      <c r="Q18"/>
      <c r="R18" t="s">
        <v>21</v>
      </c>
      <c r="S18" s="10">
        <v>117129.48</v>
      </c>
    </row>
    <row r="19" spans="7:19" x14ac:dyDescent="0.25">
      <c r="G19" t="s">
        <v>1035</v>
      </c>
      <c r="H19" s="5">
        <f>SUM(T3:T14)</f>
        <v>219521.75</v>
      </c>
      <c r="L19"/>
      <c r="O19" t="s">
        <v>1017</v>
      </c>
      <c r="P19" s="5">
        <v>2475244</v>
      </c>
      <c r="Q19"/>
      <c r="R19" t="s">
        <v>82</v>
      </c>
      <c r="S19" s="10">
        <v>662014.22</v>
      </c>
    </row>
    <row r="20" spans="7:19" x14ac:dyDescent="0.25">
      <c r="L20"/>
      <c r="O20" t="s">
        <v>1021</v>
      </c>
      <c r="P20" s="5">
        <v>3015203</v>
      </c>
      <c r="Q20"/>
      <c r="R20" t="s">
        <v>10</v>
      </c>
      <c r="S20" s="10">
        <v>194682.94</v>
      </c>
    </row>
    <row r="21" spans="7:19" x14ac:dyDescent="0.25">
      <c r="G21" t="s">
        <v>1037</v>
      </c>
      <c r="H21" s="8">
        <f>SUM(H19/H17)</f>
        <v>0.22542179581367788</v>
      </c>
      <c r="L21"/>
      <c r="O21" t="s">
        <v>1025</v>
      </c>
      <c r="P21" s="5">
        <v>4026857</v>
      </c>
      <c r="Q21"/>
    </row>
    <row r="22" spans="7:19" x14ac:dyDescent="0.25">
      <c r="L22"/>
      <c r="Q22"/>
    </row>
    <row r="23" spans="7:19" x14ac:dyDescent="0.25">
      <c r="G23" t="s">
        <v>1039</v>
      </c>
      <c r="H23">
        <f>COUNTA(sales_data[order_id])</f>
        <v>500</v>
      </c>
      <c r="L23"/>
      <c r="Q23"/>
    </row>
    <row r="24" spans="7:19" x14ac:dyDescent="0.25">
      <c r="L24"/>
      <c r="Q24"/>
    </row>
    <row r="25" spans="7:19" x14ac:dyDescent="0.25">
      <c r="G25" t="s">
        <v>1041</v>
      </c>
      <c r="H25" s="9">
        <f>SUM(M3:M14)</f>
        <v>41</v>
      </c>
      <c r="L25"/>
      <c r="Q25"/>
    </row>
    <row r="26" spans="7:19" x14ac:dyDescent="0.25">
      <c r="L26"/>
      <c r="Q26"/>
    </row>
    <row r="27" spans="7:19" x14ac:dyDescent="0.25">
      <c r="G27" t="s">
        <v>1042</v>
      </c>
      <c r="H27" s="5">
        <f>SUM(M18:M29)</f>
        <v>2811.39</v>
      </c>
      <c r="L27"/>
      <c r="Q27"/>
    </row>
    <row r="28" spans="7:19" x14ac:dyDescent="0.25">
      <c r="L28"/>
      <c r="Q28"/>
    </row>
    <row r="29" spans="7:19" x14ac:dyDescent="0.25">
      <c r="G29" t="s">
        <v>1054</v>
      </c>
      <c r="H29" s="14">
        <f>SUM(L49:L60)</f>
        <v>115.2497</v>
      </c>
      <c r="L29"/>
      <c r="Q29"/>
    </row>
    <row r="30" spans="7:19" x14ac:dyDescent="0.25">
      <c r="Q30"/>
    </row>
    <row r="31" spans="7:19" x14ac:dyDescent="0.25">
      <c r="G31" t="s">
        <v>1056</v>
      </c>
      <c r="H31" s="7">
        <f>SUM(H27/H29)</f>
        <v>24.393902977621632</v>
      </c>
      <c r="L31" s="3" t="s">
        <v>6</v>
      </c>
      <c r="M31" s="3" t="s">
        <v>1049</v>
      </c>
      <c r="Q31"/>
    </row>
    <row r="32" spans="7:19" x14ac:dyDescent="0.25">
      <c r="L32" t="s">
        <v>1047</v>
      </c>
      <c r="N32" t="s">
        <v>1048</v>
      </c>
      <c r="P32" t="s">
        <v>1051</v>
      </c>
      <c r="Q32" t="s">
        <v>1052</v>
      </c>
    </row>
    <row r="33" spans="11:17" x14ac:dyDescent="0.25">
      <c r="K33" s="3" t="s">
        <v>1010</v>
      </c>
      <c r="L33" t="s">
        <v>1046</v>
      </c>
      <c r="M33" t="s">
        <v>1050</v>
      </c>
      <c r="N33" t="s">
        <v>1046</v>
      </c>
      <c r="O33" t="s">
        <v>1050</v>
      </c>
      <c r="Q33"/>
    </row>
    <row r="34" spans="11:17" x14ac:dyDescent="0.25">
      <c r="K34" t="s">
        <v>1015</v>
      </c>
      <c r="L34" s="9">
        <v>22</v>
      </c>
      <c r="M34" s="12">
        <v>0.53658536585365857</v>
      </c>
      <c r="N34" s="9">
        <v>19</v>
      </c>
      <c r="O34" s="11">
        <v>0.46341463414634149</v>
      </c>
      <c r="P34" s="9">
        <v>41</v>
      </c>
      <c r="Q34" s="9">
        <v>1</v>
      </c>
    </row>
    <row r="35" spans="11:17" x14ac:dyDescent="0.25">
      <c r="K35" t="s">
        <v>1053</v>
      </c>
      <c r="L35" s="9">
        <v>22</v>
      </c>
      <c r="M35" s="12">
        <v>0.53658536585365857</v>
      </c>
      <c r="N35" s="9">
        <v>19</v>
      </c>
      <c r="O35" s="11">
        <v>0.46341463414634149</v>
      </c>
      <c r="P35" s="9">
        <v>41</v>
      </c>
      <c r="Q35" s="9">
        <v>1</v>
      </c>
    </row>
    <row r="36" spans="11:17" x14ac:dyDescent="0.25">
      <c r="L36"/>
      <c r="Q36"/>
    </row>
    <row r="37" spans="11:17" x14ac:dyDescent="0.25">
      <c r="L37"/>
      <c r="Q37"/>
    </row>
    <row r="38" spans="11:17" x14ac:dyDescent="0.25">
      <c r="L38"/>
      <c r="Q38"/>
    </row>
    <row r="39" spans="11:17" x14ac:dyDescent="0.25">
      <c r="L39"/>
      <c r="Q39"/>
    </row>
    <row r="40" spans="11:17" x14ac:dyDescent="0.25">
      <c r="L40"/>
      <c r="Q40"/>
    </row>
    <row r="41" spans="11:17" x14ac:dyDescent="0.25">
      <c r="L41"/>
      <c r="Q41"/>
    </row>
    <row r="42" spans="11:17" x14ac:dyDescent="0.25">
      <c r="L42"/>
      <c r="Q42"/>
    </row>
    <row r="43" spans="11:17" x14ac:dyDescent="0.25">
      <c r="L43"/>
      <c r="Q43"/>
    </row>
    <row r="44" spans="11:17" x14ac:dyDescent="0.25">
      <c r="L44"/>
      <c r="Q44"/>
    </row>
    <row r="45" spans="11:17" x14ac:dyDescent="0.25">
      <c r="L45"/>
      <c r="Q45"/>
    </row>
    <row r="46" spans="11:17" x14ac:dyDescent="0.25">
      <c r="L46"/>
      <c r="Q46"/>
    </row>
    <row r="47" spans="11:17" x14ac:dyDescent="0.25">
      <c r="L47"/>
    </row>
    <row r="48" spans="11:17" x14ac:dyDescent="0.25">
      <c r="K48" s="3" t="s">
        <v>1010</v>
      </c>
      <c r="L48" s="7" t="s">
        <v>1055</v>
      </c>
      <c r="Q48"/>
    </row>
    <row r="49" spans="11:17" x14ac:dyDescent="0.25">
      <c r="K49" t="s">
        <v>1015</v>
      </c>
      <c r="L49" s="9">
        <v>115.2497</v>
      </c>
      <c r="Q49"/>
    </row>
    <row r="50" spans="11:17" x14ac:dyDescent="0.25">
      <c r="L50"/>
      <c r="Q50"/>
    </row>
    <row r="51" spans="11:17" x14ac:dyDescent="0.25">
      <c r="L51"/>
      <c r="Q51"/>
    </row>
    <row r="52" spans="11:17" x14ac:dyDescent="0.25">
      <c r="L52"/>
      <c r="Q52"/>
    </row>
    <row r="53" spans="11:17" x14ac:dyDescent="0.25">
      <c r="L53"/>
      <c r="Q53"/>
    </row>
    <row r="54" spans="11:17" x14ac:dyDescent="0.25">
      <c r="L54"/>
      <c r="Q54"/>
    </row>
    <row r="55" spans="11:17" x14ac:dyDescent="0.25">
      <c r="L55"/>
      <c r="Q55"/>
    </row>
    <row r="56" spans="11:17" x14ac:dyDescent="0.25">
      <c r="L56"/>
      <c r="Q56"/>
    </row>
    <row r="57" spans="11:17" x14ac:dyDescent="0.25">
      <c r="L57"/>
      <c r="Q57"/>
    </row>
    <row r="58" spans="11:17" x14ac:dyDescent="0.25">
      <c r="L58"/>
      <c r="Q58"/>
    </row>
    <row r="59" spans="11:17" x14ac:dyDescent="0.25">
      <c r="L59"/>
      <c r="Q59"/>
    </row>
    <row r="60" spans="11:17" x14ac:dyDescent="0.25">
      <c r="L60"/>
      <c r="Q60"/>
    </row>
    <row r="61" spans="11:17" x14ac:dyDescent="0.25">
      <c r="L61"/>
      <c r="Q61"/>
    </row>
    <row r="62" spans="11:17" x14ac:dyDescent="0.25">
      <c r="L62"/>
      <c r="Q62"/>
    </row>
    <row r="63" spans="11:17" x14ac:dyDescent="0.25">
      <c r="L63"/>
      <c r="Q63"/>
    </row>
    <row r="64" spans="11:17" x14ac:dyDescent="0.25">
      <c r="L64"/>
    </row>
    <row r="65" spans="12:12" x14ac:dyDescent="0.25">
      <c r="L65"/>
    </row>
    <row r="66" spans="12:12" x14ac:dyDescent="0.25">
      <c r="L66"/>
    </row>
    <row r="67" spans="12:12" x14ac:dyDescent="0.25">
      <c r="L67"/>
    </row>
    <row r="68" spans="12:12" x14ac:dyDescent="0.25">
      <c r="L68"/>
    </row>
    <row r="69" spans="12:12" x14ac:dyDescent="0.25">
      <c r="L69"/>
    </row>
    <row r="70" spans="12:12" x14ac:dyDescent="0.25">
      <c r="L70"/>
    </row>
    <row r="71" spans="12:12" x14ac:dyDescent="0.25">
      <c r="L71"/>
    </row>
    <row r="72" spans="12:12" x14ac:dyDescent="0.25">
      <c r="L72"/>
    </row>
    <row r="73" spans="12:12" x14ac:dyDescent="0.25">
      <c r="L73"/>
    </row>
    <row r="74" spans="12:12" x14ac:dyDescent="0.25">
      <c r="L74"/>
    </row>
    <row r="75" spans="12:12" x14ac:dyDescent="0.25">
      <c r="L75"/>
    </row>
    <row r="76" spans="12:12" x14ac:dyDescent="0.25">
      <c r="L76"/>
    </row>
    <row r="77" spans="12:12" x14ac:dyDescent="0.25">
      <c r="L77"/>
    </row>
    <row r="78" spans="12:12" x14ac:dyDescent="0.25">
      <c r="L78"/>
    </row>
    <row r="79" spans="12:12" x14ac:dyDescent="0.25">
      <c r="L79"/>
    </row>
    <row r="80" spans="12:12" x14ac:dyDescent="0.25">
      <c r="L80"/>
    </row>
    <row r="81" spans="12:12" x14ac:dyDescent="0.25">
      <c r="L81"/>
    </row>
    <row r="82" spans="12:12" x14ac:dyDescent="0.25">
      <c r="L82"/>
    </row>
    <row r="83" spans="12:12" x14ac:dyDescent="0.25">
      <c r="L83"/>
    </row>
    <row r="84" spans="12:12" x14ac:dyDescent="0.25">
      <c r="L84"/>
    </row>
    <row r="85" spans="12:12" x14ac:dyDescent="0.25">
      <c r="L85"/>
    </row>
    <row r="86" spans="12:12" x14ac:dyDescent="0.25">
      <c r="L86"/>
    </row>
    <row r="87" spans="12:12" x14ac:dyDescent="0.25">
      <c r="L87"/>
    </row>
    <row r="88" spans="12:12" x14ac:dyDescent="0.25">
      <c r="L88"/>
    </row>
    <row r="89" spans="12:12" x14ac:dyDescent="0.25">
      <c r="L89"/>
    </row>
    <row r="90" spans="12:12" x14ac:dyDescent="0.25">
      <c r="L90"/>
    </row>
    <row r="91" spans="12:12" x14ac:dyDescent="0.25">
      <c r="L91"/>
    </row>
    <row r="92" spans="12:12" x14ac:dyDescent="0.25">
      <c r="L92"/>
    </row>
    <row r="93" spans="12:12" x14ac:dyDescent="0.25">
      <c r="L93"/>
    </row>
    <row r="94" spans="12:12" x14ac:dyDescent="0.25">
      <c r="L94"/>
    </row>
    <row r="95" spans="12:12" x14ac:dyDescent="0.25">
      <c r="L95"/>
    </row>
    <row r="96" spans="12:12" x14ac:dyDescent="0.25">
      <c r="L96"/>
    </row>
    <row r="97" spans="12:12" x14ac:dyDescent="0.25">
      <c r="L97"/>
    </row>
    <row r="98" spans="12:12" x14ac:dyDescent="0.25">
      <c r="L98"/>
    </row>
    <row r="99" spans="12:12" x14ac:dyDescent="0.25">
      <c r="L99"/>
    </row>
    <row r="100" spans="12:12" x14ac:dyDescent="0.25">
      <c r="L100"/>
    </row>
    <row r="101" spans="12:12" x14ac:dyDescent="0.25">
      <c r="L101"/>
    </row>
    <row r="102" spans="12:12" x14ac:dyDescent="0.25">
      <c r="L102"/>
    </row>
    <row r="103" spans="12:12" x14ac:dyDescent="0.25">
      <c r="L103"/>
    </row>
    <row r="104" spans="12:12" x14ac:dyDescent="0.25">
      <c r="L104"/>
    </row>
    <row r="105" spans="12:12" x14ac:dyDescent="0.25">
      <c r="L105"/>
    </row>
    <row r="106" spans="12:12" x14ac:dyDescent="0.25">
      <c r="L106"/>
    </row>
    <row r="107" spans="12:12" x14ac:dyDescent="0.25">
      <c r="L107"/>
    </row>
    <row r="108" spans="12:12" x14ac:dyDescent="0.25">
      <c r="L108"/>
    </row>
    <row r="109" spans="12:12" x14ac:dyDescent="0.25">
      <c r="L109"/>
    </row>
    <row r="110" spans="12:12" x14ac:dyDescent="0.25">
      <c r="L110"/>
    </row>
    <row r="111" spans="12:12" x14ac:dyDescent="0.25">
      <c r="L111"/>
    </row>
    <row r="112" spans="12:12" x14ac:dyDescent="0.25">
      <c r="L112"/>
    </row>
    <row r="113" spans="12:12" x14ac:dyDescent="0.25">
      <c r="L113"/>
    </row>
    <row r="114" spans="12:12" x14ac:dyDescent="0.25">
      <c r="L114"/>
    </row>
    <row r="115" spans="12:12" x14ac:dyDescent="0.25">
      <c r="L115"/>
    </row>
    <row r="116" spans="12:12" x14ac:dyDescent="0.25">
      <c r="L116"/>
    </row>
    <row r="117" spans="12:12" x14ac:dyDescent="0.25">
      <c r="L117"/>
    </row>
    <row r="118" spans="12:12" x14ac:dyDescent="0.25">
      <c r="L118"/>
    </row>
    <row r="119" spans="12:12" x14ac:dyDescent="0.25">
      <c r="L119"/>
    </row>
    <row r="120" spans="12:12" x14ac:dyDescent="0.25">
      <c r="L120"/>
    </row>
    <row r="121" spans="12:12" x14ac:dyDescent="0.25">
      <c r="L121"/>
    </row>
    <row r="122" spans="12:12" x14ac:dyDescent="0.25">
      <c r="L122"/>
    </row>
    <row r="123" spans="12:12" x14ac:dyDescent="0.25">
      <c r="L123"/>
    </row>
    <row r="124" spans="12:12" x14ac:dyDescent="0.25">
      <c r="L124"/>
    </row>
    <row r="125" spans="12:12" x14ac:dyDescent="0.25">
      <c r="L125"/>
    </row>
    <row r="126" spans="12:12" x14ac:dyDescent="0.25">
      <c r="L126"/>
    </row>
    <row r="127" spans="12:12" x14ac:dyDescent="0.25">
      <c r="L127"/>
    </row>
    <row r="128" spans="12:12" x14ac:dyDescent="0.25">
      <c r="L128"/>
    </row>
    <row r="129" spans="12:12" x14ac:dyDescent="0.25">
      <c r="L129"/>
    </row>
    <row r="130" spans="12:12" x14ac:dyDescent="0.25">
      <c r="L130"/>
    </row>
    <row r="131" spans="12:12" x14ac:dyDescent="0.25">
      <c r="L131"/>
    </row>
    <row r="132" spans="12:12" x14ac:dyDescent="0.25">
      <c r="L132"/>
    </row>
    <row r="133" spans="12:12" x14ac:dyDescent="0.25">
      <c r="L133"/>
    </row>
    <row r="134" spans="12:12" x14ac:dyDescent="0.25">
      <c r="L134"/>
    </row>
    <row r="135" spans="12:12" x14ac:dyDescent="0.25">
      <c r="L135"/>
    </row>
    <row r="136" spans="12:12" x14ac:dyDescent="0.25">
      <c r="L136"/>
    </row>
    <row r="137" spans="12:12" x14ac:dyDescent="0.25">
      <c r="L137"/>
    </row>
    <row r="138" spans="12:12" x14ac:dyDescent="0.25">
      <c r="L138"/>
    </row>
    <row r="139" spans="12:12" x14ac:dyDescent="0.25">
      <c r="L139"/>
    </row>
    <row r="140" spans="12:12" x14ac:dyDescent="0.25">
      <c r="L140"/>
    </row>
    <row r="141" spans="12:12" x14ac:dyDescent="0.25">
      <c r="L141"/>
    </row>
    <row r="142" spans="12:12" x14ac:dyDescent="0.25">
      <c r="L142"/>
    </row>
    <row r="143" spans="12:12" x14ac:dyDescent="0.25">
      <c r="L143"/>
    </row>
    <row r="144" spans="12:12" x14ac:dyDescent="0.25">
      <c r="L144"/>
    </row>
    <row r="145" spans="12:12" x14ac:dyDescent="0.25">
      <c r="L145"/>
    </row>
    <row r="146" spans="12:12" x14ac:dyDescent="0.25">
      <c r="L146"/>
    </row>
    <row r="147" spans="12:12" x14ac:dyDescent="0.25">
      <c r="L147"/>
    </row>
    <row r="148" spans="12:12" x14ac:dyDescent="0.25">
      <c r="L148"/>
    </row>
    <row r="149" spans="12:12" x14ac:dyDescent="0.25">
      <c r="L149"/>
    </row>
    <row r="150" spans="12:12" x14ac:dyDescent="0.25">
      <c r="L150"/>
    </row>
    <row r="151" spans="12:12" x14ac:dyDescent="0.25">
      <c r="L151"/>
    </row>
    <row r="152" spans="12:12" x14ac:dyDescent="0.25">
      <c r="L152"/>
    </row>
    <row r="153" spans="12:12" x14ac:dyDescent="0.25">
      <c r="L153"/>
    </row>
    <row r="154" spans="12:12" x14ac:dyDescent="0.25">
      <c r="L154"/>
    </row>
    <row r="155" spans="12:12" x14ac:dyDescent="0.25">
      <c r="L155"/>
    </row>
    <row r="156" spans="12:12" x14ac:dyDescent="0.25">
      <c r="L156"/>
    </row>
    <row r="157" spans="12:12" x14ac:dyDescent="0.25">
      <c r="L157"/>
    </row>
    <row r="158" spans="12:12" x14ac:dyDescent="0.25">
      <c r="L158"/>
    </row>
    <row r="159" spans="12:12" x14ac:dyDescent="0.25">
      <c r="L159"/>
    </row>
    <row r="160" spans="12:12" x14ac:dyDescent="0.25">
      <c r="L160"/>
    </row>
    <row r="161" spans="12:12" x14ac:dyDescent="0.25">
      <c r="L161"/>
    </row>
    <row r="162" spans="12:12" x14ac:dyDescent="0.25">
      <c r="L162"/>
    </row>
    <row r="163" spans="12:12" x14ac:dyDescent="0.25">
      <c r="L163"/>
    </row>
    <row r="164" spans="12:12" x14ac:dyDescent="0.25">
      <c r="L164"/>
    </row>
    <row r="165" spans="12:12" x14ac:dyDescent="0.25">
      <c r="L165"/>
    </row>
    <row r="166" spans="12:12" x14ac:dyDescent="0.25">
      <c r="L166"/>
    </row>
    <row r="167" spans="12:12" x14ac:dyDescent="0.25">
      <c r="L167"/>
    </row>
    <row r="168" spans="12:12" x14ac:dyDescent="0.25">
      <c r="L168"/>
    </row>
    <row r="169" spans="12:12" x14ac:dyDescent="0.25">
      <c r="L169"/>
    </row>
    <row r="170" spans="12:12" x14ac:dyDescent="0.25">
      <c r="L170"/>
    </row>
    <row r="171" spans="12:12" x14ac:dyDescent="0.25">
      <c r="L171"/>
    </row>
    <row r="172" spans="12:12" x14ac:dyDescent="0.25">
      <c r="L172"/>
    </row>
    <row r="173" spans="12:12" x14ac:dyDescent="0.25">
      <c r="L173"/>
    </row>
    <row r="174" spans="12:12" x14ac:dyDescent="0.25">
      <c r="L174"/>
    </row>
    <row r="175" spans="12:12" x14ac:dyDescent="0.25">
      <c r="L175"/>
    </row>
    <row r="176" spans="12:12" x14ac:dyDescent="0.25">
      <c r="L176"/>
    </row>
    <row r="177" spans="12:12" x14ac:dyDescent="0.25">
      <c r="L177"/>
    </row>
    <row r="178" spans="12:12" x14ac:dyDescent="0.25">
      <c r="L178"/>
    </row>
    <row r="179" spans="12:12" x14ac:dyDescent="0.25">
      <c r="L179"/>
    </row>
    <row r="180" spans="12:12" x14ac:dyDescent="0.25">
      <c r="L180"/>
    </row>
    <row r="181" spans="12:12" x14ac:dyDescent="0.25">
      <c r="L181"/>
    </row>
    <row r="182" spans="12:12" x14ac:dyDescent="0.25">
      <c r="L182"/>
    </row>
    <row r="183" spans="12:12" x14ac:dyDescent="0.25">
      <c r="L183"/>
    </row>
    <row r="184" spans="12:12" x14ac:dyDescent="0.25">
      <c r="L184"/>
    </row>
    <row r="185" spans="12:12" x14ac:dyDescent="0.25">
      <c r="L185"/>
    </row>
    <row r="186" spans="12:12" x14ac:dyDescent="0.25">
      <c r="L186"/>
    </row>
    <row r="187" spans="12:12" x14ac:dyDescent="0.25">
      <c r="L187"/>
    </row>
    <row r="188" spans="12:12" x14ac:dyDescent="0.25">
      <c r="L188"/>
    </row>
    <row r="189" spans="12:12" x14ac:dyDescent="0.25">
      <c r="L189"/>
    </row>
    <row r="190" spans="12:12" x14ac:dyDescent="0.25">
      <c r="L190"/>
    </row>
    <row r="191" spans="12:12" x14ac:dyDescent="0.25">
      <c r="L191"/>
    </row>
    <row r="192" spans="12:12" x14ac:dyDescent="0.25">
      <c r="L192"/>
    </row>
    <row r="193" spans="12:12" x14ac:dyDescent="0.25">
      <c r="L193"/>
    </row>
    <row r="194" spans="12:12" x14ac:dyDescent="0.25">
      <c r="L194"/>
    </row>
    <row r="195" spans="12:12" x14ac:dyDescent="0.25">
      <c r="L195"/>
    </row>
    <row r="196" spans="12:12" x14ac:dyDescent="0.25">
      <c r="L196"/>
    </row>
    <row r="197" spans="12:12" x14ac:dyDescent="0.25">
      <c r="L197"/>
    </row>
    <row r="198" spans="12:12" x14ac:dyDescent="0.25">
      <c r="L198"/>
    </row>
    <row r="199" spans="12:12" x14ac:dyDescent="0.25">
      <c r="L199"/>
    </row>
    <row r="200" spans="12:12" x14ac:dyDescent="0.25">
      <c r="L200"/>
    </row>
    <row r="201" spans="12:12" x14ac:dyDescent="0.25">
      <c r="L201"/>
    </row>
    <row r="202" spans="12:12" x14ac:dyDescent="0.25">
      <c r="L202"/>
    </row>
    <row r="203" spans="12:12" x14ac:dyDescent="0.25">
      <c r="L203"/>
    </row>
    <row r="204" spans="12:12" x14ac:dyDescent="0.25">
      <c r="L204"/>
    </row>
    <row r="205" spans="12:12" x14ac:dyDescent="0.25">
      <c r="L205"/>
    </row>
    <row r="206" spans="12:12" x14ac:dyDescent="0.25">
      <c r="L206"/>
    </row>
    <row r="207" spans="12:12" x14ac:dyDescent="0.25">
      <c r="L207"/>
    </row>
    <row r="208" spans="12:12" x14ac:dyDescent="0.25">
      <c r="L208"/>
    </row>
    <row r="209" spans="12:12" x14ac:dyDescent="0.25">
      <c r="L209"/>
    </row>
    <row r="210" spans="12:12" x14ac:dyDescent="0.25">
      <c r="L210"/>
    </row>
    <row r="211" spans="12:12" x14ac:dyDescent="0.25">
      <c r="L211"/>
    </row>
    <row r="212" spans="12:12" x14ac:dyDescent="0.25">
      <c r="L212"/>
    </row>
    <row r="213" spans="12:12" x14ac:dyDescent="0.25">
      <c r="L213"/>
    </row>
    <row r="214" spans="12:12" x14ac:dyDescent="0.25">
      <c r="L214"/>
    </row>
    <row r="215" spans="12:12" x14ac:dyDescent="0.25">
      <c r="L215"/>
    </row>
    <row r="216" spans="12:12" x14ac:dyDescent="0.25">
      <c r="L216"/>
    </row>
    <row r="217" spans="12:12" x14ac:dyDescent="0.25">
      <c r="L217"/>
    </row>
    <row r="218" spans="12:12" x14ac:dyDescent="0.25">
      <c r="L218"/>
    </row>
    <row r="219" spans="12:12" x14ac:dyDescent="0.25">
      <c r="L219"/>
    </row>
    <row r="220" spans="12:12" x14ac:dyDescent="0.25">
      <c r="L220"/>
    </row>
    <row r="221" spans="12:12" x14ac:dyDescent="0.25">
      <c r="L221"/>
    </row>
    <row r="222" spans="12:12" x14ac:dyDescent="0.25">
      <c r="L222"/>
    </row>
    <row r="223" spans="12:12" x14ac:dyDescent="0.25">
      <c r="L223"/>
    </row>
    <row r="224" spans="12:12" x14ac:dyDescent="0.25">
      <c r="L224"/>
    </row>
    <row r="225" spans="12:12" x14ac:dyDescent="0.25">
      <c r="L225"/>
    </row>
    <row r="226" spans="12:12" x14ac:dyDescent="0.25">
      <c r="L226"/>
    </row>
    <row r="227" spans="12:12" x14ac:dyDescent="0.25">
      <c r="L227"/>
    </row>
    <row r="228" spans="12:12" x14ac:dyDescent="0.25">
      <c r="L228"/>
    </row>
    <row r="229" spans="12:12" x14ac:dyDescent="0.25">
      <c r="L229"/>
    </row>
    <row r="230" spans="12:12" x14ac:dyDescent="0.25">
      <c r="L230"/>
    </row>
    <row r="231" spans="12:12" x14ac:dyDescent="0.25">
      <c r="L231"/>
    </row>
    <row r="232" spans="12:12" x14ac:dyDescent="0.25">
      <c r="L232"/>
    </row>
    <row r="233" spans="12:12" x14ac:dyDescent="0.25">
      <c r="L233"/>
    </row>
    <row r="234" spans="12:12" x14ac:dyDescent="0.25">
      <c r="L234"/>
    </row>
    <row r="235" spans="12:12" x14ac:dyDescent="0.25">
      <c r="L235"/>
    </row>
    <row r="236" spans="12:12" x14ac:dyDescent="0.25">
      <c r="L236"/>
    </row>
    <row r="237" spans="12:12" x14ac:dyDescent="0.25">
      <c r="L237"/>
    </row>
    <row r="238" spans="12:12" x14ac:dyDescent="0.25">
      <c r="L238"/>
    </row>
    <row r="239" spans="12:12" x14ac:dyDescent="0.25">
      <c r="L239"/>
    </row>
    <row r="240" spans="12:12" x14ac:dyDescent="0.25">
      <c r="L240"/>
    </row>
    <row r="241" spans="12:12" x14ac:dyDescent="0.25">
      <c r="L241"/>
    </row>
    <row r="242" spans="12:12" x14ac:dyDescent="0.25">
      <c r="L242"/>
    </row>
    <row r="243" spans="12:12" x14ac:dyDescent="0.25">
      <c r="L243"/>
    </row>
    <row r="244" spans="12:12" x14ac:dyDescent="0.25">
      <c r="L244"/>
    </row>
    <row r="245" spans="12:12" x14ac:dyDescent="0.25">
      <c r="L245"/>
    </row>
    <row r="246" spans="12:12" x14ac:dyDescent="0.25">
      <c r="L246"/>
    </row>
    <row r="247" spans="12:12" x14ac:dyDescent="0.25">
      <c r="L247"/>
    </row>
    <row r="248" spans="12:12" x14ac:dyDescent="0.25">
      <c r="L248"/>
    </row>
    <row r="249" spans="12:12" x14ac:dyDescent="0.25">
      <c r="L249"/>
    </row>
    <row r="250" spans="12:12" x14ac:dyDescent="0.25">
      <c r="L250"/>
    </row>
    <row r="251" spans="12:12" x14ac:dyDescent="0.25">
      <c r="L251"/>
    </row>
    <row r="252" spans="12:12" x14ac:dyDescent="0.25">
      <c r="L252"/>
    </row>
    <row r="253" spans="12:12" x14ac:dyDescent="0.25">
      <c r="L253"/>
    </row>
    <row r="254" spans="12:12" x14ac:dyDescent="0.25">
      <c r="L254"/>
    </row>
    <row r="255" spans="12:12" x14ac:dyDescent="0.25">
      <c r="L255"/>
    </row>
    <row r="256" spans="12:12" x14ac:dyDescent="0.25">
      <c r="L256"/>
    </row>
    <row r="257" spans="12:12" x14ac:dyDescent="0.25">
      <c r="L257"/>
    </row>
    <row r="258" spans="12:12" x14ac:dyDescent="0.25">
      <c r="L258"/>
    </row>
    <row r="259" spans="12:12" x14ac:dyDescent="0.25">
      <c r="L259"/>
    </row>
    <row r="260" spans="12:12" x14ac:dyDescent="0.25">
      <c r="L260"/>
    </row>
    <row r="261" spans="12:12" x14ac:dyDescent="0.25">
      <c r="L261"/>
    </row>
    <row r="262" spans="12:12" x14ac:dyDescent="0.25">
      <c r="L262"/>
    </row>
    <row r="263" spans="12:12" x14ac:dyDescent="0.25">
      <c r="L263"/>
    </row>
    <row r="264" spans="12:12" x14ac:dyDescent="0.25">
      <c r="L264"/>
    </row>
    <row r="265" spans="12:12" x14ac:dyDescent="0.25">
      <c r="L265"/>
    </row>
    <row r="266" spans="12:12" x14ac:dyDescent="0.25">
      <c r="L266"/>
    </row>
    <row r="267" spans="12:12" x14ac:dyDescent="0.25">
      <c r="L267"/>
    </row>
    <row r="268" spans="12:12" x14ac:dyDescent="0.25">
      <c r="L268"/>
    </row>
    <row r="269" spans="12:12" x14ac:dyDescent="0.25">
      <c r="L269"/>
    </row>
    <row r="270" spans="12:12" x14ac:dyDescent="0.25">
      <c r="L270"/>
    </row>
    <row r="271" spans="12:12" x14ac:dyDescent="0.25">
      <c r="L271"/>
    </row>
    <row r="272" spans="12:12" x14ac:dyDescent="0.25">
      <c r="L272"/>
    </row>
    <row r="273" spans="12:12" x14ac:dyDescent="0.25">
      <c r="L273"/>
    </row>
    <row r="274" spans="12:12" x14ac:dyDescent="0.25">
      <c r="L274"/>
    </row>
    <row r="275" spans="12:12" x14ac:dyDescent="0.25">
      <c r="L275"/>
    </row>
    <row r="276" spans="12:12" x14ac:dyDescent="0.25">
      <c r="L276"/>
    </row>
    <row r="277" spans="12:12" x14ac:dyDescent="0.25">
      <c r="L277"/>
    </row>
    <row r="278" spans="12:12" x14ac:dyDescent="0.25">
      <c r="L278"/>
    </row>
    <row r="279" spans="12:12" x14ac:dyDescent="0.25">
      <c r="L279"/>
    </row>
    <row r="280" spans="12:12" x14ac:dyDescent="0.25">
      <c r="L280"/>
    </row>
    <row r="281" spans="12:12" x14ac:dyDescent="0.25">
      <c r="L281"/>
    </row>
    <row r="282" spans="12:12" x14ac:dyDescent="0.25">
      <c r="L282"/>
    </row>
    <row r="283" spans="12:12" x14ac:dyDescent="0.25">
      <c r="L283"/>
    </row>
    <row r="284" spans="12:12" x14ac:dyDescent="0.25">
      <c r="L284"/>
    </row>
    <row r="285" spans="12:12" x14ac:dyDescent="0.25">
      <c r="L285"/>
    </row>
    <row r="286" spans="12:12" x14ac:dyDescent="0.25">
      <c r="L286"/>
    </row>
    <row r="287" spans="12:12" x14ac:dyDescent="0.25">
      <c r="L287"/>
    </row>
    <row r="288" spans="12:12" x14ac:dyDescent="0.25">
      <c r="L288"/>
    </row>
    <row r="289" spans="12:12" x14ac:dyDescent="0.25">
      <c r="L289"/>
    </row>
    <row r="290" spans="12:12" x14ac:dyDescent="0.25">
      <c r="L290"/>
    </row>
    <row r="291" spans="12:12" x14ac:dyDescent="0.25">
      <c r="L291"/>
    </row>
    <row r="292" spans="12:12" x14ac:dyDescent="0.25">
      <c r="L292"/>
    </row>
    <row r="293" spans="12:12" x14ac:dyDescent="0.25">
      <c r="L293"/>
    </row>
    <row r="294" spans="12:12" x14ac:dyDescent="0.25">
      <c r="L294"/>
    </row>
    <row r="295" spans="12:12" x14ac:dyDescent="0.25">
      <c r="L295"/>
    </row>
    <row r="296" spans="12:12" x14ac:dyDescent="0.25">
      <c r="L296"/>
    </row>
    <row r="297" spans="12:12" x14ac:dyDescent="0.25">
      <c r="L297"/>
    </row>
    <row r="298" spans="12:12" x14ac:dyDescent="0.25">
      <c r="L298"/>
    </row>
    <row r="299" spans="12:12" x14ac:dyDescent="0.25">
      <c r="L299"/>
    </row>
    <row r="300" spans="12:12" x14ac:dyDescent="0.25">
      <c r="L300"/>
    </row>
    <row r="301" spans="12:12" x14ac:dyDescent="0.25">
      <c r="L301"/>
    </row>
    <row r="302" spans="12:12" x14ac:dyDescent="0.25">
      <c r="L302"/>
    </row>
    <row r="303" spans="12:12" x14ac:dyDescent="0.25">
      <c r="L303"/>
    </row>
    <row r="304" spans="12:12" x14ac:dyDescent="0.25">
      <c r="L304"/>
    </row>
    <row r="305" spans="12:12" x14ac:dyDescent="0.25">
      <c r="L305"/>
    </row>
    <row r="306" spans="12:12" x14ac:dyDescent="0.25">
      <c r="L306"/>
    </row>
    <row r="307" spans="12:12" x14ac:dyDescent="0.25">
      <c r="L307"/>
    </row>
    <row r="308" spans="12:12" x14ac:dyDescent="0.25">
      <c r="L308"/>
    </row>
    <row r="309" spans="12:12" x14ac:dyDescent="0.25">
      <c r="L309"/>
    </row>
    <row r="310" spans="12:12" x14ac:dyDescent="0.25">
      <c r="L310"/>
    </row>
    <row r="311" spans="12:12" x14ac:dyDescent="0.25">
      <c r="L311"/>
    </row>
    <row r="312" spans="12:12" x14ac:dyDescent="0.25">
      <c r="L312"/>
    </row>
    <row r="313" spans="12:12" x14ac:dyDescent="0.25">
      <c r="L313"/>
    </row>
    <row r="314" spans="12:12" x14ac:dyDescent="0.25">
      <c r="L314"/>
    </row>
    <row r="315" spans="12:12" x14ac:dyDescent="0.25">
      <c r="L315"/>
    </row>
    <row r="316" spans="12:12" x14ac:dyDescent="0.25">
      <c r="L316"/>
    </row>
    <row r="317" spans="12:12" x14ac:dyDescent="0.25">
      <c r="L317"/>
    </row>
    <row r="318" spans="12:12" x14ac:dyDescent="0.25">
      <c r="L318"/>
    </row>
    <row r="319" spans="12:12" x14ac:dyDescent="0.25">
      <c r="L319"/>
    </row>
    <row r="320" spans="12:12" x14ac:dyDescent="0.25">
      <c r="L320"/>
    </row>
    <row r="321" spans="12:12" x14ac:dyDescent="0.25">
      <c r="L321"/>
    </row>
    <row r="322" spans="12:12" x14ac:dyDescent="0.25">
      <c r="L322"/>
    </row>
    <row r="323" spans="12:12" x14ac:dyDescent="0.25">
      <c r="L323"/>
    </row>
    <row r="324" spans="12:12" x14ac:dyDescent="0.25">
      <c r="L324"/>
    </row>
    <row r="325" spans="12:12" x14ac:dyDescent="0.25">
      <c r="L325"/>
    </row>
    <row r="326" spans="12:12" x14ac:dyDescent="0.25">
      <c r="L326"/>
    </row>
    <row r="327" spans="12:12" x14ac:dyDescent="0.25">
      <c r="L327"/>
    </row>
    <row r="328" spans="12:12" x14ac:dyDescent="0.25">
      <c r="L328"/>
    </row>
    <row r="329" spans="12:12" x14ac:dyDescent="0.25">
      <c r="L329"/>
    </row>
    <row r="330" spans="12:12" x14ac:dyDescent="0.25">
      <c r="L330"/>
    </row>
    <row r="331" spans="12:12" x14ac:dyDescent="0.25">
      <c r="L331"/>
    </row>
    <row r="332" spans="12:12" x14ac:dyDescent="0.25">
      <c r="L332"/>
    </row>
    <row r="333" spans="12:12" x14ac:dyDescent="0.25">
      <c r="L333"/>
    </row>
    <row r="334" spans="12:12" x14ac:dyDescent="0.25">
      <c r="L334"/>
    </row>
    <row r="335" spans="12:12" x14ac:dyDescent="0.25">
      <c r="L335"/>
    </row>
    <row r="336" spans="12:12" x14ac:dyDescent="0.25">
      <c r="L336"/>
    </row>
    <row r="337" spans="12:12" x14ac:dyDescent="0.25">
      <c r="L337"/>
    </row>
    <row r="338" spans="12:12" x14ac:dyDescent="0.25">
      <c r="L338"/>
    </row>
    <row r="339" spans="12:12" x14ac:dyDescent="0.25">
      <c r="L339"/>
    </row>
    <row r="340" spans="12:12" x14ac:dyDescent="0.25">
      <c r="L340"/>
    </row>
    <row r="341" spans="12:12" x14ac:dyDescent="0.25">
      <c r="L341"/>
    </row>
    <row r="342" spans="12:12" x14ac:dyDescent="0.25">
      <c r="L342"/>
    </row>
    <row r="343" spans="12:12" x14ac:dyDescent="0.25">
      <c r="L343"/>
    </row>
    <row r="344" spans="12:12" x14ac:dyDescent="0.25">
      <c r="L344"/>
    </row>
    <row r="345" spans="12:12" x14ac:dyDescent="0.25">
      <c r="L345"/>
    </row>
    <row r="346" spans="12:12" x14ac:dyDescent="0.25">
      <c r="L346"/>
    </row>
    <row r="347" spans="12:12" x14ac:dyDescent="0.25">
      <c r="L347"/>
    </row>
    <row r="348" spans="12:12" x14ac:dyDescent="0.25">
      <c r="L348"/>
    </row>
    <row r="349" spans="12:12" x14ac:dyDescent="0.25">
      <c r="L349"/>
    </row>
    <row r="350" spans="12:12" x14ac:dyDescent="0.25">
      <c r="L350"/>
    </row>
    <row r="351" spans="12:12" x14ac:dyDescent="0.25">
      <c r="L351"/>
    </row>
    <row r="352" spans="12:12" x14ac:dyDescent="0.25">
      <c r="L352"/>
    </row>
    <row r="353" spans="12:12" x14ac:dyDescent="0.25">
      <c r="L353"/>
    </row>
    <row r="354" spans="12:12" x14ac:dyDescent="0.25">
      <c r="L354"/>
    </row>
    <row r="355" spans="12:12" x14ac:dyDescent="0.25">
      <c r="L355"/>
    </row>
    <row r="356" spans="12:12" x14ac:dyDescent="0.25">
      <c r="L356"/>
    </row>
    <row r="357" spans="12:12" x14ac:dyDescent="0.25">
      <c r="L357"/>
    </row>
    <row r="358" spans="12:12" x14ac:dyDescent="0.25">
      <c r="L358"/>
    </row>
    <row r="359" spans="12:12" x14ac:dyDescent="0.25">
      <c r="L359"/>
    </row>
    <row r="360" spans="12:12" x14ac:dyDescent="0.25">
      <c r="L360"/>
    </row>
    <row r="361" spans="12:12" x14ac:dyDescent="0.25">
      <c r="L361"/>
    </row>
    <row r="362" spans="12:12" x14ac:dyDescent="0.25">
      <c r="L362"/>
    </row>
    <row r="363" spans="12:12" x14ac:dyDescent="0.25">
      <c r="L363"/>
    </row>
    <row r="364" spans="12:12" x14ac:dyDescent="0.25">
      <c r="L364"/>
    </row>
    <row r="365" spans="12:12" x14ac:dyDescent="0.25">
      <c r="L365"/>
    </row>
    <row r="366" spans="12:12" x14ac:dyDescent="0.25">
      <c r="L366"/>
    </row>
    <row r="367" spans="12:12" x14ac:dyDescent="0.25">
      <c r="L367"/>
    </row>
    <row r="368" spans="12:12" x14ac:dyDescent="0.25">
      <c r="L368"/>
    </row>
    <row r="369" spans="12:12" x14ac:dyDescent="0.25">
      <c r="L369"/>
    </row>
    <row r="370" spans="12:12" x14ac:dyDescent="0.25">
      <c r="L370"/>
    </row>
    <row r="371" spans="12:12" x14ac:dyDescent="0.25">
      <c r="L371"/>
    </row>
    <row r="372" spans="12:12" x14ac:dyDescent="0.25">
      <c r="L372"/>
    </row>
    <row r="373" spans="12:12" x14ac:dyDescent="0.25">
      <c r="L373"/>
    </row>
    <row r="374" spans="12:12" x14ac:dyDescent="0.25">
      <c r="L374"/>
    </row>
    <row r="375" spans="12:12" x14ac:dyDescent="0.25">
      <c r="L375"/>
    </row>
    <row r="376" spans="12:12" x14ac:dyDescent="0.25">
      <c r="L376"/>
    </row>
    <row r="377" spans="12:12" x14ac:dyDescent="0.25">
      <c r="L377"/>
    </row>
    <row r="378" spans="12:12" x14ac:dyDescent="0.25">
      <c r="L378"/>
    </row>
    <row r="379" spans="12:12" x14ac:dyDescent="0.25">
      <c r="L379"/>
    </row>
    <row r="380" spans="12:12" x14ac:dyDescent="0.25">
      <c r="L380"/>
    </row>
    <row r="381" spans="12:12" x14ac:dyDescent="0.25">
      <c r="L381"/>
    </row>
    <row r="382" spans="12:12" x14ac:dyDescent="0.25">
      <c r="L382"/>
    </row>
    <row r="383" spans="12:12" x14ac:dyDescent="0.25">
      <c r="L383"/>
    </row>
    <row r="384" spans="12:12" x14ac:dyDescent="0.25">
      <c r="L384"/>
    </row>
    <row r="385" spans="12:12" x14ac:dyDescent="0.25">
      <c r="L385"/>
    </row>
    <row r="386" spans="12:12" x14ac:dyDescent="0.25">
      <c r="L386"/>
    </row>
    <row r="387" spans="12:12" x14ac:dyDescent="0.25">
      <c r="L387"/>
    </row>
    <row r="388" spans="12:12" x14ac:dyDescent="0.25">
      <c r="L388"/>
    </row>
    <row r="389" spans="12:12" x14ac:dyDescent="0.25">
      <c r="L389"/>
    </row>
    <row r="390" spans="12:12" x14ac:dyDescent="0.25">
      <c r="L390"/>
    </row>
    <row r="391" spans="12:12" x14ac:dyDescent="0.25">
      <c r="L391"/>
    </row>
    <row r="392" spans="12:12" x14ac:dyDescent="0.25">
      <c r="L392"/>
    </row>
    <row r="393" spans="12:12" x14ac:dyDescent="0.25">
      <c r="L393"/>
    </row>
    <row r="394" spans="12:12" x14ac:dyDescent="0.25">
      <c r="L394"/>
    </row>
    <row r="395" spans="12:12" x14ac:dyDescent="0.25">
      <c r="L395"/>
    </row>
    <row r="396" spans="12:12" x14ac:dyDescent="0.25">
      <c r="L396"/>
    </row>
    <row r="397" spans="12:12" x14ac:dyDescent="0.25">
      <c r="L397"/>
    </row>
    <row r="398" spans="12:12" x14ac:dyDescent="0.25">
      <c r="L398"/>
    </row>
    <row r="399" spans="12:12" x14ac:dyDescent="0.25">
      <c r="L399"/>
    </row>
    <row r="400" spans="12:12" x14ac:dyDescent="0.25">
      <c r="L400"/>
    </row>
    <row r="401" spans="12:12" x14ac:dyDescent="0.25">
      <c r="L401"/>
    </row>
    <row r="402" spans="12:12" x14ac:dyDescent="0.25">
      <c r="L402"/>
    </row>
    <row r="403" spans="12:12" x14ac:dyDescent="0.25">
      <c r="L403"/>
    </row>
    <row r="404" spans="12:12" x14ac:dyDescent="0.25">
      <c r="L404"/>
    </row>
    <row r="405" spans="12:12" x14ac:dyDescent="0.25">
      <c r="L405"/>
    </row>
    <row r="406" spans="12:12" x14ac:dyDescent="0.25">
      <c r="L406"/>
    </row>
    <row r="407" spans="12:12" x14ac:dyDescent="0.25">
      <c r="L407"/>
    </row>
    <row r="408" spans="12:12" x14ac:dyDescent="0.25">
      <c r="L408"/>
    </row>
    <row r="409" spans="12:12" x14ac:dyDescent="0.25">
      <c r="L409"/>
    </row>
    <row r="410" spans="12:12" x14ac:dyDescent="0.25">
      <c r="L410"/>
    </row>
    <row r="411" spans="12:12" x14ac:dyDescent="0.25">
      <c r="L411"/>
    </row>
    <row r="412" spans="12:12" x14ac:dyDescent="0.25">
      <c r="L412"/>
    </row>
    <row r="413" spans="12:12" x14ac:dyDescent="0.25">
      <c r="L413"/>
    </row>
    <row r="414" spans="12:12" x14ac:dyDescent="0.25">
      <c r="L414"/>
    </row>
    <row r="415" spans="12:12" x14ac:dyDescent="0.25">
      <c r="L415"/>
    </row>
    <row r="416" spans="12:12" x14ac:dyDescent="0.25">
      <c r="L416"/>
    </row>
    <row r="417" spans="12:12" x14ac:dyDescent="0.25">
      <c r="L417"/>
    </row>
    <row r="418" spans="12:12" x14ac:dyDescent="0.25">
      <c r="L418"/>
    </row>
    <row r="419" spans="12:12" x14ac:dyDescent="0.25">
      <c r="L419"/>
    </row>
    <row r="420" spans="12:12" x14ac:dyDescent="0.25">
      <c r="L420"/>
    </row>
    <row r="421" spans="12:12" x14ac:dyDescent="0.25">
      <c r="L421"/>
    </row>
    <row r="422" spans="12:12" x14ac:dyDescent="0.25">
      <c r="L422"/>
    </row>
    <row r="423" spans="12:12" x14ac:dyDescent="0.25">
      <c r="L423"/>
    </row>
    <row r="424" spans="12:12" x14ac:dyDescent="0.25">
      <c r="L424"/>
    </row>
    <row r="425" spans="12:12" x14ac:dyDescent="0.25">
      <c r="L425"/>
    </row>
    <row r="426" spans="12:12" x14ac:dyDescent="0.25">
      <c r="L426"/>
    </row>
    <row r="427" spans="12:12" x14ac:dyDescent="0.25">
      <c r="L427"/>
    </row>
    <row r="428" spans="12:12" x14ac:dyDescent="0.25">
      <c r="L428"/>
    </row>
    <row r="429" spans="12:12" x14ac:dyDescent="0.25">
      <c r="L429"/>
    </row>
    <row r="430" spans="12:12" x14ac:dyDescent="0.25">
      <c r="L430"/>
    </row>
    <row r="431" spans="12:12" x14ac:dyDescent="0.25">
      <c r="L431"/>
    </row>
    <row r="432" spans="12:12" x14ac:dyDescent="0.25">
      <c r="L432"/>
    </row>
    <row r="433" spans="12:12" x14ac:dyDescent="0.25">
      <c r="L433"/>
    </row>
    <row r="434" spans="12:12" x14ac:dyDescent="0.25">
      <c r="L434"/>
    </row>
    <row r="435" spans="12:12" x14ac:dyDescent="0.25">
      <c r="L435"/>
    </row>
    <row r="436" spans="12:12" x14ac:dyDescent="0.25">
      <c r="L436"/>
    </row>
    <row r="437" spans="12:12" x14ac:dyDescent="0.25">
      <c r="L437"/>
    </row>
    <row r="438" spans="12:12" x14ac:dyDescent="0.25">
      <c r="L438"/>
    </row>
    <row r="439" spans="12:12" x14ac:dyDescent="0.25">
      <c r="L439"/>
    </row>
    <row r="440" spans="12:12" x14ac:dyDescent="0.25">
      <c r="L440"/>
    </row>
    <row r="441" spans="12:12" x14ac:dyDescent="0.25">
      <c r="L441"/>
    </row>
    <row r="442" spans="12:12" x14ac:dyDescent="0.25">
      <c r="L442"/>
    </row>
    <row r="443" spans="12:12" x14ac:dyDescent="0.25">
      <c r="L443"/>
    </row>
    <row r="444" spans="12:12" x14ac:dyDescent="0.25">
      <c r="L444"/>
    </row>
    <row r="445" spans="12:12" x14ac:dyDescent="0.25">
      <c r="L445"/>
    </row>
    <row r="446" spans="12:12" x14ac:dyDescent="0.25">
      <c r="L446"/>
    </row>
    <row r="447" spans="12:12" x14ac:dyDescent="0.25">
      <c r="L447"/>
    </row>
    <row r="448" spans="12:12" x14ac:dyDescent="0.25">
      <c r="L448"/>
    </row>
    <row r="449" spans="12:12" x14ac:dyDescent="0.25">
      <c r="L449"/>
    </row>
    <row r="450" spans="12:12" x14ac:dyDescent="0.25">
      <c r="L450"/>
    </row>
    <row r="451" spans="12:12" x14ac:dyDescent="0.25">
      <c r="L451"/>
    </row>
    <row r="452" spans="12:12" x14ac:dyDescent="0.25">
      <c r="L452"/>
    </row>
    <row r="453" spans="12:12" x14ac:dyDescent="0.25">
      <c r="L453"/>
    </row>
    <row r="454" spans="12:12" x14ac:dyDescent="0.25">
      <c r="L454"/>
    </row>
    <row r="455" spans="12:12" x14ac:dyDescent="0.25">
      <c r="L455"/>
    </row>
    <row r="456" spans="12:12" x14ac:dyDescent="0.25">
      <c r="L456"/>
    </row>
    <row r="457" spans="12:12" x14ac:dyDescent="0.25">
      <c r="L457"/>
    </row>
    <row r="458" spans="12:12" x14ac:dyDescent="0.25">
      <c r="L458"/>
    </row>
    <row r="459" spans="12:12" x14ac:dyDescent="0.25">
      <c r="L459"/>
    </row>
    <row r="460" spans="12:12" x14ac:dyDescent="0.25">
      <c r="L460"/>
    </row>
    <row r="461" spans="12:12" x14ac:dyDescent="0.25">
      <c r="L461"/>
    </row>
    <row r="462" spans="12:12" x14ac:dyDescent="0.25">
      <c r="L462"/>
    </row>
    <row r="463" spans="12:12" x14ac:dyDescent="0.25">
      <c r="L463"/>
    </row>
    <row r="464" spans="12:12" x14ac:dyDescent="0.25">
      <c r="L464"/>
    </row>
    <row r="465" spans="12:12" x14ac:dyDescent="0.25">
      <c r="L465"/>
    </row>
    <row r="466" spans="12:12" x14ac:dyDescent="0.25">
      <c r="L466"/>
    </row>
    <row r="467" spans="12:12" x14ac:dyDescent="0.25">
      <c r="L467"/>
    </row>
    <row r="468" spans="12:12" x14ac:dyDescent="0.25">
      <c r="L468"/>
    </row>
    <row r="469" spans="12:12" x14ac:dyDescent="0.25">
      <c r="L469"/>
    </row>
    <row r="470" spans="12:12" x14ac:dyDescent="0.25">
      <c r="L470"/>
    </row>
    <row r="471" spans="12:12" x14ac:dyDescent="0.25">
      <c r="L471"/>
    </row>
    <row r="472" spans="12:12" x14ac:dyDescent="0.25">
      <c r="L472"/>
    </row>
    <row r="473" spans="12:12" x14ac:dyDescent="0.25">
      <c r="L473"/>
    </row>
    <row r="474" spans="12:12" x14ac:dyDescent="0.25">
      <c r="L474"/>
    </row>
    <row r="475" spans="12:12" x14ac:dyDescent="0.25">
      <c r="L475"/>
    </row>
    <row r="476" spans="12:12" x14ac:dyDescent="0.25">
      <c r="L476"/>
    </row>
    <row r="477" spans="12:12" x14ac:dyDescent="0.25">
      <c r="L477"/>
    </row>
    <row r="478" spans="12:12" x14ac:dyDescent="0.25">
      <c r="L478"/>
    </row>
    <row r="479" spans="12:12" x14ac:dyDescent="0.25">
      <c r="L479"/>
    </row>
    <row r="480" spans="12:12" x14ac:dyDescent="0.25">
      <c r="L480"/>
    </row>
    <row r="481" spans="12:12" x14ac:dyDescent="0.25">
      <c r="L481"/>
    </row>
    <row r="482" spans="12:12" x14ac:dyDescent="0.25">
      <c r="L482"/>
    </row>
    <row r="483" spans="12:12" x14ac:dyDescent="0.25">
      <c r="L483"/>
    </row>
    <row r="484" spans="12:12" x14ac:dyDescent="0.25">
      <c r="L484"/>
    </row>
    <row r="485" spans="12:12" x14ac:dyDescent="0.25">
      <c r="L485"/>
    </row>
    <row r="486" spans="12:12" x14ac:dyDescent="0.25">
      <c r="L486"/>
    </row>
    <row r="487" spans="12:12" x14ac:dyDescent="0.25">
      <c r="L487"/>
    </row>
    <row r="488" spans="12:12" x14ac:dyDescent="0.25">
      <c r="L488"/>
    </row>
    <row r="489" spans="12:12" x14ac:dyDescent="0.25">
      <c r="L489"/>
    </row>
    <row r="490" spans="12:12" x14ac:dyDescent="0.25">
      <c r="L490"/>
    </row>
    <row r="491" spans="12:12" x14ac:dyDescent="0.25">
      <c r="L491"/>
    </row>
    <row r="492" spans="12:12" x14ac:dyDescent="0.25">
      <c r="L492"/>
    </row>
    <row r="493" spans="12:12" x14ac:dyDescent="0.25">
      <c r="L493"/>
    </row>
    <row r="494" spans="12:12" x14ac:dyDescent="0.25">
      <c r="L494"/>
    </row>
    <row r="495" spans="12:12" x14ac:dyDescent="0.25">
      <c r="L495"/>
    </row>
    <row r="496" spans="12:12" x14ac:dyDescent="0.25">
      <c r="L496"/>
    </row>
    <row r="497" spans="12:12" x14ac:dyDescent="0.25">
      <c r="L497"/>
    </row>
    <row r="498" spans="12:12" x14ac:dyDescent="0.25">
      <c r="L498"/>
    </row>
    <row r="499" spans="12:12" x14ac:dyDescent="0.25">
      <c r="L499"/>
    </row>
    <row r="500" spans="12:12" x14ac:dyDescent="0.25">
      <c r="L500"/>
    </row>
    <row r="501" spans="12:12" x14ac:dyDescent="0.25">
      <c r="L501"/>
    </row>
    <row r="502" spans="12:12" x14ac:dyDescent="0.25">
      <c r="L502"/>
    </row>
    <row r="503" spans="12:12" x14ac:dyDescent="0.25">
      <c r="L503"/>
    </row>
    <row r="504" spans="12:12" x14ac:dyDescent="0.25">
      <c r="L504"/>
    </row>
    <row r="505" spans="12:12" x14ac:dyDescent="0.25">
      <c r="L505"/>
    </row>
    <row r="506" spans="12:12" x14ac:dyDescent="0.25">
      <c r="L506"/>
    </row>
    <row r="507" spans="12:12" x14ac:dyDescent="0.25">
      <c r="L507"/>
    </row>
    <row r="508" spans="12:12" x14ac:dyDescent="0.25">
      <c r="L508"/>
    </row>
    <row r="509" spans="12:12" x14ac:dyDescent="0.25">
      <c r="L509"/>
    </row>
    <row r="510" spans="12:12" x14ac:dyDescent="0.25">
      <c r="L510"/>
    </row>
    <row r="511" spans="12:12" x14ac:dyDescent="0.25">
      <c r="L511"/>
    </row>
    <row r="512" spans="12:12" x14ac:dyDescent="0.25">
      <c r="L512"/>
    </row>
    <row r="513" spans="12:12" x14ac:dyDescent="0.25">
      <c r="L513"/>
    </row>
    <row r="514" spans="12:12" x14ac:dyDescent="0.25">
      <c r="L514"/>
    </row>
    <row r="515" spans="12:12" x14ac:dyDescent="0.25">
      <c r="L515"/>
    </row>
    <row r="516" spans="12:12" x14ac:dyDescent="0.25">
      <c r="L516"/>
    </row>
    <row r="517" spans="12:12" x14ac:dyDescent="0.25">
      <c r="L517"/>
    </row>
    <row r="518" spans="12:12" x14ac:dyDescent="0.25">
      <c r="L518"/>
    </row>
    <row r="519" spans="12:12" x14ac:dyDescent="0.25">
      <c r="L519"/>
    </row>
    <row r="520" spans="12:12" x14ac:dyDescent="0.25">
      <c r="L520"/>
    </row>
    <row r="521" spans="12:12" x14ac:dyDescent="0.25">
      <c r="L521"/>
    </row>
    <row r="522" spans="12:12" x14ac:dyDescent="0.25">
      <c r="L522"/>
    </row>
    <row r="523" spans="12:12" x14ac:dyDescent="0.25">
      <c r="L523"/>
    </row>
    <row r="524" spans="12:12" x14ac:dyDescent="0.25">
      <c r="L524"/>
    </row>
    <row r="525" spans="12:12" x14ac:dyDescent="0.25">
      <c r="L525"/>
    </row>
    <row r="526" spans="12:12" x14ac:dyDescent="0.25">
      <c r="L526"/>
    </row>
    <row r="527" spans="12:12" x14ac:dyDescent="0.25">
      <c r="L527"/>
    </row>
    <row r="528" spans="12:12" x14ac:dyDescent="0.25">
      <c r="L528"/>
    </row>
    <row r="529" spans="12:12" x14ac:dyDescent="0.25">
      <c r="L529"/>
    </row>
    <row r="530" spans="12:12" x14ac:dyDescent="0.25">
      <c r="L530"/>
    </row>
    <row r="531" spans="12:12" x14ac:dyDescent="0.25">
      <c r="L531"/>
    </row>
    <row r="532" spans="12:12" x14ac:dyDescent="0.25">
      <c r="L532"/>
    </row>
    <row r="533" spans="12:12" x14ac:dyDescent="0.25">
      <c r="L533"/>
    </row>
    <row r="534" spans="12:12" x14ac:dyDescent="0.25">
      <c r="L534"/>
    </row>
    <row r="535" spans="12:12" x14ac:dyDescent="0.25">
      <c r="L535"/>
    </row>
    <row r="536" spans="12:12" x14ac:dyDescent="0.25">
      <c r="L536"/>
    </row>
    <row r="537" spans="12:12" x14ac:dyDescent="0.25">
      <c r="L537"/>
    </row>
    <row r="538" spans="12:12" x14ac:dyDescent="0.25">
      <c r="L538"/>
    </row>
    <row r="539" spans="12:12" x14ac:dyDescent="0.25">
      <c r="L539"/>
    </row>
    <row r="540" spans="12:12" x14ac:dyDescent="0.25">
      <c r="L540"/>
    </row>
    <row r="541" spans="12:12" x14ac:dyDescent="0.25">
      <c r="L541"/>
    </row>
    <row r="542" spans="12:12" x14ac:dyDescent="0.25">
      <c r="L542"/>
    </row>
    <row r="543" spans="12:12" x14ac:dyDescent="0.25">
      <c r="L543"/>
    </row>
    <row r="544" spans="12:12" x14ac:dyDescent="0.25">
      <c r="L544"/>
    </row>
    <row r="545" spans="12:12" x14ac:dyDescent="0.25">
      <c r="L545"/>
    </row>
    <row r="546" spans="12:12" x14ac:dyDescent="0.25">
      <c r="L546"/>
    </row>
    <row r="547" spans="12:12" x14ac:dyDescent="0.25">
      <c r="L547"/>
    </row>
    <row r="548" spans="12:12" x14ac:dyDescent="0.25">
      <c r="L548"/>
    </row>
    <row r="549" spans="12:12" x14ac:dyDescent="0.25">
      <c r="L549"/>
    </row>
    <row r="550" spans="12:12" x14ac:dyDescent="0.25">
      <c r="L550"/>
    </row>
    <row r="551" spans="12:12" x14ac:dyDescent="0.25">
      <c r="L551"/>
    </row>
    <row r="552" spans="12:12" x14ac:dyDescent="0.25">
      <c r="L552"/>
    </row>
    <row r="553" spans="12:12" x14ac:dyDescent="0.25">
      <c r="L553"/>
    </row>
    <row r="554" spans="12:12" x14ac:dyDescent="0.25">
      <c r="L554"/>
    </row>
    <row r="555" spans="12:12" x14ac:dyDescent="0.25">
      <c r="L555"/>
    </row>
    <row r="556" spans="12:12" x14ac:dyDescent="0.25">
      <c r="L556"/>
    </row>
    <row r="557" spans="12:12" x14ac:dyDescent="0.25">
      <c r="L557"/>
    </row>
    <row r="558" spans="12:12" x14ac:dyDescent="0.25">
      <c r="L558"/>
    </row>
    <row r="559" spans="12:12" x14ac:dyDescent="0.25">
      <c r="L559"/>
    </row>
    <row r="560" spans="12:12" x14ac:dyDescent="0.25">
      <c r="L560"/>
    </row>
    <row r="561" spans="12:12" x14ac:dyDescent="0.25">
      <c r="L561"/>
    </row>
    <row r="562" spans="12:12" x14ac:dyDescent="0.25">
      <c r="L562"/>
    </row>
    <row r="563" spans="12:12" x14ac:dyDescent="0.25">
      <c r="L563"/>
    </row>
    <row r="564" spans="12:12" x14ac:dyDescent="0.25">
      <c r="L564"/>
    </row>
    <row r="565" spans="12:12" x14ac:dyDescent="0.25">
      <c r="L565"/>
    </row>
    <row r="566" spans="12:12" x14ac:dyDescent="0.25">
      <c r="L566"/>
    </row>
    <row r="567" spans="12:12" x14ac:dyDescent="0.25">
      <c r="L567"/>
    </row>
    <row r="568" spans="12:12" x14ac:dyDescent="0.25">
      <c r="L568"/>
    </row>
    <row r="569" spans="12:12" x14ac:dyDescent="0.25">
      <c r="L569"/>
    </row>
    <row r="570" spans="12:12" x14ac:dyDescent="0.25">
      <c r="L570"/>
    </row>
    <row r="571" spans="12:12" x14ac:dyDescent="0.25">
      <c r="L571"/>
    </row>
    <row r="572" spans="12:12" x14ac:dyDescent="0.25">
      <c r="L572"/>
    </row>
    <row r="573" spans="12:12" x14ac:dyDescent="0.25">
      <c r="L573"/>
    </row>
    <row r="574" spans="12:12" x14ac:dyDescent="0.25">
      <c r="L574"/>
    </row>
    <row r="575" spans="12:12" x14ac:dyDescent="0.25">
      <c r="L575"/>
    </row>
    <row r="576" spans="12:12" x14ac:dyDescent="0.25">
      <c r="L576"/>
    </row>
    <row r="577" spans="12:12" x14ac:dyDescent="0.25">
      <c r="L577"/>
    </row>
    <row r="578" spans="12:12" x14ac:dyDescent="0.25">
      <c r="L578"/>
    </row>
    <row r="579" spans="12:12" x14ac:dyDescent="0.25">
      <c r="L579"/>
    </row>
    <row r="580" spans="12:12" x14ac:dyDescent="0.25">
      <c r="L580"/>
    </row>
    <row r="581" spans="12:12" x14ac:dyDescent="0.25">
      <c r="L581"/>
    </row>
    <row r="582" spans="12:12" x14ac:dyDescent="0.25">
      <c r="L582"/>
    </row>
    <row r="583" spans="12:12" x14ac:dyDescent="0.25">
      <c r="L583"/>
    </row>
    <row r="584" spans="12:12" x14ac:dyDescent="0.25">
      <c r="L584"/>
    </row>
    <row r="585" spans="12:12" x14ac:dyDescent="0.25">
      <c r="L585"/>
    </row>
    <row r="586" spans="12:12" x14ac:dyDescent="0.25">
      <c r="L586"/>
    </row>
    <row r="587" spans="12:12" x14ac:dyDescent="0.25">
      <c r="L587"/>
    </row>
    <row r="588" spans="12:12" x14ac:dyDescent="0.25">
      <c r="L588"/>
    </row>
    <row r="589" spans="12:12" x14ac:dyDescent="0.25">
      <c r="L589"/>
    </row>
    <row r="590" spans="12:12" x14ac:dyDescent="0.25">
      <c r="L590"/>
    </row>
    <row r="591" spans="12:12" x14ac:dyDescent="0.25">
      <c r="L591"/>
    </row>
    <row r="592" spans="12:12" x14ac:dyDescent="0.25">
      <c r="L592"/>
    </row>
    <row r="593" spans="12:12" x14ac:dyDescent="0.25">
      <c r="L593"/>
    </row>
    <row r="594" spans="12:12" x14ac:dyDescent="0.25">
      <c r="L594"/>
    </row>
    <row r="595" spans="12:12" x14ac:dyDescent="0.25">
      <c r="L595"/>
    </row>
    <row r="596" spans="12:12" x14ac:dyDescent="0.25">
      <c r="L596"/>
    </row>
    <row r="597" spans="12:12" x14ac:dyDescent="0.25">
      <c r="L597"/>
    </row>
    <row r="598" spans="12:12" x14ac:dyDescent="0.25">
      <c r="L598"/>
    </row>
    <row r="599" spans="12:12" x14ac:dyDescent="0.25">
      <c r="L599"/>
    </row>
    <row r="600" spans="12:12" x14ac:dyDescent="0.25">
      <c r="L600"/>
    </row>
    <row r="601" spans="12:12" x14ac:dyDescent="0.25">
      <c r="L601"/>
    </row>
    <row r="602" spans="12:12" x14ac:dyDescent="0.25">
      <c r="L602"/>
    </row>
    <row r="603" spans="12:12" x14ac:dyDescent="0.25">
      <c r="L603"/>
    </row>
    <row r="604" spans="12:12" x14ac:dyDescent="0.25">
      <c r="L604"/>
    </row>
    <row r="605" spans="12:12" x14ac:dyDescent="0.25">
      <c r="L605"/>
    </row>
    <row r="606" spans="12:12" x14ac:dyDescent="0.25">
      <c r="L606"/>
    </row>
    <row r="607" spans="12:12" x14ac:dyDescent="0.25">
      <c r="L607"/>
    </row>
    <row r="608" spans="12:12" x14ac:dyDescent="0.25">
      <c r="L608"/>
    </row>
    <row r="609" spans="12:12" x14ac:dyDescent="0.25">
      <c r="L609"/>
    </row>
    <row r="610" spans="12:12" x14ac:dyDescent="0.25">
      <c r="L610"/>
    </row>
    <row r="611" spans="12:12" x14ac:dyDescent="0.25">
      <c r="L611"/>
    </row>
    <row r="612" spans="12:12" x14ac:dyDescent="0.25">
      <c r="L612"/>
    </row>
    <row r="613" spans="12:12" x14ac:dyDescent="0.25">
      <c r="L613"/>
    </row>
    <row r="614" spans="12:12" x14ac:dyDescent="0.25">
      <c r="L614"/>
    </row>
    <row r="615" spans="12:12" x14ac:dyDescent="0.25">
      <c r="L615"/>
    </row>
    <row r="616" spans="12:12" x14ac:dyDescent="0.25">
      <c r="L616"/>
    </row>
    <row r="617" spans="12:12" x14ac:dyDescent="0.25">
      <c r="L617"/>
    </row>
    <row r="618" spans="12:12" x14ac:dyDescent="0.25">
      <c r="L618"/>
    </row>
    <row r="619" spans="12:12" x14ac:dyDescent="0.25">
      <c r="L619"/>
    </row>
    <row r="620" spans="12:12" x14ac:dyDescent="0.25">
      <c r="L620"/>
    </row>
    <row r="621" spans="12:12" x14ac:dyDescent="0.25">
      <c r="L621"/>
    </row>
    <row r="622" spans="12:12" x14ac:dyDescent="0.25">
      <c r="L622"/>
    </row>
    <row r="623" spans="12:12" x14ac:dyDescent="0.25">
      <c r="L623"/>
    </row>
    <row r="624" spans="12:12" x14ac:dyDescent="0.25">
      <c r="L624"/>
    </row>
    <row r="625" spans="12:12" x14ac:dyDescent="0.25">
      <c r="L625"/>
    </row>
    <row r="626" spans="12:12" x14ac:dyDescent="0.25">
      <c r="L626"/>
    </row>
    <row r="627" spans="12:12" x14ac:dyDescent="0.25">
      <c r="L627"/>
    </row>
    <row r="628" spans="12:12" x14ac:dyDescent="0.25">
      <c r="L628"/>
    </row>
    <row r="629" spans="12:12" x14ac:dyDescent="0.25">
      <c r="L629"/>
    </row>
    <row r="630" spans="12:12" x14ac:dyDescent="0.25">
      <c r="L630"/>
    </row>
    <row r="631" spans="12:12" x14ac:dyDescent="0.25">
      <c r="L631"/>
    </row>
    <row r="632" spans="12:12" x14ac:dyDescent="0.25">
      <c r="L632"/>
    </row>
    <row r="633" spans="12:12" x14ac:dyDescent="0.25">
      <c r="L633"/>
    </row>
    <row r="634" spans="12:12" x14ac:dyDescent="0.25">
      <c r="L634"/>
    </row>
    <row r="635" spans="12:12" x14ac:dyDescent="0.25">
      <c r="L635"/>
    </row>
    <row r="636" spans="12:12" x14ac:dyDescent="0.25">
      <c r="L636"/>
    </row>
    <row r="637" spans="12:12" x14ac:dyDescent="0.25">
      <c r="L637"/>
    </row>
    <row r="638" spans="12:12" x14ac:dyDescent="0.25">
      <c r="L638"/>
    </row>
    <row r="639" spans="12:12" x14ac:dyDescent="0.25">
      <c r="L639"/>
    </row>
    <row r="640" spans="12:12" x14ac:dyDescent="0.25">
      <c r="L640"/>
    </row>
    <row r="641" spans="12:12" x14ac:dyDescent="0.25">
      <c r="L641"/>
    </row>
    <row r="642" spans="12:12" x14ac:dyDescent="0.25">
      <c r="L642"/>
    </row>
    <row r="643" spans="12:12" x14ac:dyDescent="0.25">
      <c r="L643"/>
    </row>
    <row r="644" spans="12:12" x14ac:dyDescent="0.25">
      <c r="L644"/>
    </row>
    <row r="645" spans="12:12" x14ac:dyDescent="0.25">
      <c r="L645"/>
    </row>
    <row r="646" spans="12:12" x14ac:dyDescent="0.25">
      <c r="L646"/>
    </row>
    <row r="647" spans="12:12" x14ac:dyDescent="0.25">
      <c r="L647"/>
    </row>
    <row r="648" spans="12:12" x14ac:dyDescent="0.25">
      <c r="L648"/>
    </row>
    <row r="649" spans="12:12" x14ac:dyDescent="0.25">
      <c r="L649"/>
    </row>
    <row r="650" spans="12:12" x14ac:dyDescent="0.25">
      <c r="L650"/>
    </row>
    <row r="651" spans="12:12" x14ac:dyDescent="0.25">
      <c r="L651"/>
    </row>
    <row r="652" spans="12:12" x14ac:dyDescent="0.25">
      <c r="L652"/>
    </row>
    <row r="653" spans="12:12" x14ac:dyDescent="0.25">
      <c r="L653"/>
    </row>
    <row r="654" spans="12:12" x14ac:dyDescent="0.25">
      <c r="L654"/>
    </row>
    <row r="655" spans="12:12" x14ac:dyDescent="0.25">
      <c r="L655"/>
    </row>
    <row r="656" spans="12:12" x14ac:dyDescent="0.25">
      <c r="L656"/>
    </row>
    <row r="657" spans="12:12" x14ac:dyDescent="0.25">
      <c r="L657"/>
    </row>
    <row r="658" spans="12:12" x14ac:dyDescent="0.25">
      <c r="L658"/>
    </row>
    <row r="659" spans="12:12" x14ac:dyDescent="0.25">
      <c r="L659"/>
    </row>
    <row r="660" spans="12:12" x14ac:dyDescent="0.25">
      <c r="L660"/>
    </row>
    <row r="661" spans="12:12" x14ac:dyDescent="0.25">
      <c r="L661"/>
    </row>
    <row r="662" spans="12:12" x14ac:dyDescent="0.25">
      <c r="L662"/>
    </row>
    <row r="663" spans="12:12" x14ac:dyDescent="0.25">
      <c r="L663"/>
    </row>
    <row r="664" spans="12:12" x14ac:dyDescent="0.25">
      <c r="L664"/>
    </row>
    <row r="665" spans="12:12" x14ac:dyDescent="0.25">
      <c r="L665"/>
    </row>
    <row r="666" spans="12:12" x14ac:dyDescent="0.25">
      <c r="L666"/>
    </row>
    <row r="667" spans="12:12" x14ac:dyDescent="0.25">
      <c r="L667"/>
    </row>
    <row r="668" spans="12:12" x14ac:dyDescent="0.25">
      <c r="L668"/>
    </row>
    <row r="669" spans="12:12" x14ac:dyDescent="0.25">
      <c r="L669"/>
    </row>
    <row r="670" spans="12:12" x14ac:dyDescent="0.25">
      <c r="L670"/>
    </row>
    <row r="671" spans="12:12" x14ac:dyDescent="0.25">
      <c r="L671"/>
    </row>
    <row r="672" spans="12:12" x14ac:dyDescent="0.25">
      <c r="L672"/>
    </row>
    <row r="673" spans="12:12" x14ac:dyDescent="0.25">
      <c r="L673"/>
    </row>
    <row r="674" spans="12:12" x14ac:dyDescent="0.25">
      <c r="L674"/>
    </row>
    <row r="675" spans="12:12" x14ac:dyDescent="0.25">
      <c r="L675"/>
    </row>
    <row r="676" spans="12:12" x14ac:dyDescent="0.25">
      <c r="L676"/>
    </row>
    <row r="677" spans="12:12" x14ac:dyDescent="0.25">
      <c r="L677"/>
    </row>
    <row r="678" spans="12:12" x14ac:dyDescent="0.25">
      <c r="L678"/>
    </row>
    <row r="679" spans="12:12" x14ac:dyDescent="0.25">
      <c r="L679"/>
    </row>
    <row r="680" spans="12:12" x14ac:dyDescent="0.25">
      <c r="L680"/>
    </row>
    <row r="681" spans="12:12" x14ac:dyDescent="0.25">
      <c r="L681"/>
    </row>
    <row r="682" spans="12:12" x14ac:dyDescent="0.25">
      <c r="L682"/>
    </row>
    <row r="683" spans="12:12" x14ac:dyDescent="0.25">
      <c r="L683"/>
    </row>
    <row r="684" spans="12:12" x14ac:dyDescent="0.25">
      <c r="L684"/>
    </row>
    <row r="685" spans="12:12" x14ac:dyDescent="0.25">
      <c r="L685"/>
    </row>
    <row r="686" spans="12:12" x14ac:dyDescent="0.25">
      <c r="L686"/>
    </row>
    <row r="687" spans="12:12" x14ac:dyDescent="0.25">
      <c r="L687"/>
    </row>
    <row r="688" spans="12:12" x14ac:dyDescent="0.25">
      <c r="L688"/>
    </row>
    <row r="689" spans="12:12" x14ac:dyDescent="0.25">
      <c r="L689"/>
    </row>
    <row r="690" spans="12:12" x14ac:dyDescent="0.25">
      <c r="L690"/>
    </row>
    <row r="691" spans="12:12" x14ac:dyDescent="0.25">
      <c r="L691"/>
    </row>
    <row r="692" spans="12:12" x14ac:dyDescent="0.25">
      <c r="L692"/>
    </row>
    <row r="693" spans="12:12" x14ac:dyDescent="0.25">
      <c r="L693"/>
    </row>
    <row r="694" spans="12:12" x14ac:dyDescent="0.25">
      <c r="L694"/>
    </row>
    <row r="695" spans="12:12" x14ac:dyDescent="0.25">
      <c r="L695"/>
    </row>
    <row r="696" spans="12:12" x14ac:dyDescent="0.25">
      <c r="L696"/>
    </row>
    <row r="697" spans="12:12" x14ac:dyDescent="0.25">
      <c r="L697"/>
    </row>
    <row r="698" spans="12:12" x14ac:dyDescent="0.25">
      <c r="L698"/>
    </row>
    <row r="699" spans="12:12" x14ac:dyDescent="0.25">
      <c r="L699"/>
    </row>
    <row r="700" spans="12:12" x14ac:dyDescent="0.25">
      <c r="L700"/>
    </row>
    <row r="701" spans="12:12" x14ac:dyDescent="0.25">
      <c r="L701"/>
    </row>
    <row r="702" spans="12:12" x14ac:dyDescent="0.25">
      <c r="L702"/>
    </row>
    <row r="703" spans="12:12" x14ac:dyDescent="0.25">
      <c r="L703"/>
    </row>
    <row r="704" spans="12:12" x14ac:dyDescent="0.25">
      <c r="L704"/>
    </row>
    <row r="705" spans="12:12" x14ac:dyDescent="0.25">
      <c r="L705"/>
    </row>
    <row r="706" spans="12:12" x14ac:dyDescent="0.25">
      <c r="L706"/>
    </row>
    <row r="707" spans="12:12" x14ac:dyDescent="0.25">
      <c r="L707"/>
    </row>
    <row r="708" spans="12:12" x14ac:dyDescent="0.25">
      <c r="L708"/>
    </row>
    <row r="709" spans="12:12" x14ac:dyDescent="0.25">
      <c r="L709"/>
    </row>
    <row r="710" spans="12:12" x14ac:dyDescent="0.25">
      <c r="L710"/>
    </row>
    <row r="711" spans="12:12" x14ac:dyDescent="0.25">
      <c r="L711"/>
    </row>
    <row r="712" spans="12:12" x14ac:dyDescent="0.25">
      <c r="L712"/>
    </row>
    <row r="713" spans="12:12" x14ac:dyDescent="0.25">
      <c r="L713"/>
    </row>
    <row r="714" spans="12:12" x14ac:dyDescent="0.25">
      <c r="L714"/>
    </row>
    <row r="715" spans="12:12" x14ac:dyDescent="0.25">
      <c r="L715"/>
    </row>
    <row r="716" spans="12:12" x14ac:dyDescent="0.25">
      <c r="L716"/>
    </row>
    <row r="717" spans="12:12" x14ac:dyDescent="0.25">
      <c r="L717"/>
    </row>
    <row r="718" spans="12:12" x14ac:dyDescent="0.25">
      <c r="L718"/>
    </row>
    <row r="719" spans="12:12" x14ac:dyDescent="0.25">
      <c r="L719"/>
    </row>
    <row r="720" spans="12:12" x14ac:dyDescent="0.25">
      <c r="L720"/>
    </row>
    <row r="721" spans="12:12" x14ac:dyDescent="0.25">
      <c r="L721"/>
    </row>
    <row r="722" spans="12:12" x14ac:dyDescent="0.25">
      <c r="L722"/>
    </row>
    <row r="723" spans="12:12" x14ac:dyDescent="0.25">
      <c r="L723"/>
    </row>
    <row r="724" spans="12:12" x14ac:dyDescent="0.25">
      <c r="L724"/>
    </row>
    <row r="725" spans="12:12" x14ac:dyDescent="0.25">
      <c r="L725"/>
    </row>
    <row r="726" spans="12:12" x14ac:dyDescent="0.25">
      <c r="L726"/>
    </row>
    <row r="727" spans="12:12" x14ac:dyDescent="0.25">
      <c r="L727"/>
    </row>
    <row r="728" spans="12:12" x14ac:dyDescent="0.25">
      <c r="L728"/>
    </row>
    <row r="729" spans="12:12" x14ac:dyDescent="0.25">
      <c r="L729"/>
    </row>
    <row r="730" spans="12:12" x14ac:dyDescent="0.25">
      <c r="L730"/>
    </row>
    <row r="731" spans="12:12" x14ac:dyDescent="0.25">
      <c r="L731"/>
    </row>
    <row r="732" spans="12:12" x14ac:dyDescent="0.25">
      <c r="L732"/>
    </row>
    <row r="733" spans="12:12" x14ac:dyDescent="0.25">
      <c r="L733"/>
    </row>
    <row r="734" spans="12:12" x14ac:dyDescent="0.25">
      <c r="L734"/>
    </row>
    <row r="735" spans="12:12" x14ac:dyDescent="0.25">
      <c r="L735"/>
    </row>
    <row r="736" spans="12:12" x14ac:dyDescent="0.25">
      <c r="L736"/>
    </row>
    <row r="737" spans="12:12" x14ac:dyDescent="0.25">
      <c r="L737"/>
    </row>
    <row r="738" spans="12:12" x14ac:dyDescent="0.25">
      <c r="L738"/>
    </row>
    <row r="739" spans="12:12" x14ac:dyDescent="0.25">
      <c r="L739"/>
    </row>
    <row r="740" spans="12:12" x14ac:dyDescent="0.25">
      <c r="L740"/>
    </row>
    <row r="741" spans="12:12" x14ac:dyDescent="0.25">
      <c r="L741"/>
    </row>
    <row r="742" spans="12:12" x14ac:dyDescent="0.25">
      <c r="L742"/>
    </row>
    <row r="743" spans="12:12" x14ac:dyDescent="0.25">
      <c r="L743"/>
    </row>
    <row r="744" spans="12:12" x14ac:dyDescent="0.25">
      <c r="L744"/>
    </row>
    <row r="745" spans="12:12" x14ac:dyDescent="0.25">
      <c r="L745"/>
    </row>
    <row r="746" spans="12:12" x14ac:dyDescent="0.25">
      <c r="L746"/>
    </row>
    <row r="747" spans="12:12" x14ac:dyDescent="0.25">
      <c r="L747"/>
    </row>
    <row r="748" spans="12:12" x14ac:dyDescent="0.25">
      <c r="L748"/>
    </row>
    <row r="749" spans="12:12" x14ac:dyDescent="0.25">
      <c r="L749"/>
    </row>
    <row r="750" spans="12:12" x14ac:dyDescent="0.25">
      <c r="L750"/>
    </row>
    <row r="751" spans="12:12" x14ac:dyDescent="0.25">
      <c r="L751"/>
    </row>
    <row r="752" spans="12:12" x14ac:dyDescent="0.25">
      <c r="L752"/>
    </row>
    <row r="753" spans="12:12" x14ac:dyDescent="0.25">
      <c r="L753"/>
    </row>
    <row r="754" spans="12:12" x14ac:dyDescent="0.25">
      <c r="L754"/>
    </row>
    <row r="755" spans="12:12" x14ac:dyDescent="0.25">
      <c r="L755"/>
    </row>
    <row r="756" spans="12:12" x14ac:dyDescent="0.25">
      <c r="L756"/>
    </row>
    <row r="757" spans="12:12" x14ac:dyDescent="0.25">
      <c r="L757"/>
    </row>
    <row r="758" spans="12:12" x14ac:dyDescent="0.25">
      <c r="L758"/>
    </row>
    <row r="759" spans="12:12" x14ac:dyDescent="0.25">
      <c r="L759"/>
    </row>
    <row r="760" spans="12:12" x14ac:dyDescent="0.25">
      <c r="L760"/>
    </row>
    <row r="761" spans="12:12" x14ac:dyDescent="0.25">
      <c r="L761"/>
    </row>
    <row r="762" spans="12:12" x14ac:dyDescent="0.25">
      <c r="L762"/>
    </row>
    <row r="763" spans="12:12" x14ac:dyDescent="0.25">
      <c r="L763"/>
    </row>
    <row r="764" spans="12:12" x14ac:dyDescent="0.25">
      <c r="L764"/>
    </row>
    <row r="765" spans="12:12" x14ac:dyDescent="0.25">
      <c r="L765"/>
    </row>
    <row r="766" spans="12:12" x14ac:dyDescent="0.25">
      <c r="L766"/>
    </row>
    <row r="767" spans="12:12" x14ac:dyDescent="0.25">
      <c r="L767"/>
    </row>
    <row r="768" spans="12:12" x14ac:dyDescent="0.25">
      <c r="L768"/>
    </row>
    <row r="769" spans="12:12" x14ac:dyDescent="0.25">
      <c r="L769"/>
    </row>
    <row r="770" spans="12:12" x14ac:dyDescent="0.25">
      <c r="L770"/>
    </row>
    <row r="771" spans="12:12" x14ac:dyDescent="0.25">
      <c r="L771"/>
    </row>
    <row r="772" spans="12:12" x14ac:dyDescent="0.25">
      <c r="L772"/>
    </row>
    <row r="773" spans="12:12" x14ac:dyDescent="0.25">
      <c r="L773"/>
    </row>
    <row r="774" spans="12:12" x14ac:dyDescent="0.25">
      <c r="L774"/>
    </row>
    <row r="775" spans="12:12" x14ac:dyDescent="0.25">
      <c r="L775"/>
    </row>
    <row r="776" spans="12:12" x14ac:dyDescent="0.25">
      <c r="L776"/>
    </row>
    <row r="777" spans="12:12" x14ac:dyDescent="0.25">
      <c r="L777"/>
    </row>
    <row r="778" spans="12:12" x14ac:dyDescent="0.25">
      <c r="L778"/>
    </row>
    <row r="779" spans="12:12" x14ac:dyDescent="0.25">
      <c r="L779"/>
    </row>
    <row r="780" spans="12:12" x14ac:dyDescent="0.25">
      <c r="L780"/>
    </row>
    <row r="781" spans="12:12" x14ac:dyDescent="0.25">
      <c r="L781"/>
    </row>
    <row r="782" spans="12:12" x14ac:dyDescent="0.25">
      <c r="L782"/>
    </row>
    <row r="783" spans="12:12" x14ac:dyDescent="0.25">
      <c r="L783"/>
    </row>
    <row r="784" spans="12:12" x14ac:dyDescent="0.25">
      <c r="L784"/>
    </row>
    <row r="785" spans="12:12" x14ac:dyDescent="0.25">
      <c r="L785"/>
    </row>
    <row r="786" spans="12:12" x14ac:dyDescent="0.25">
      <c r="L786"/>
    </row>
    <row r="787" spans="12:12" x14ac:dyDescent="0.25">
      <c r="L787"/>
    </row>
    <row r="788" spans="12:12" x14ac:dyDescent="0.25">
      <c r="L788"/>
    </row>
    <row r="789" spans="12:12" x14ac:dyDescent="0.25">
      <c r="L789"/>
    </row>
    <row r="790" spans="12:12" x14ac:dyDescent="0.25">
      <c r="L790"/>
    </row>
    <row r="791" spans="12:12" x14ac:dyDescent="0.25">
      <c r="L791"/>
    </row>
    <row r="792" spans="12:12" x14ac:dyDescent="0.25">
      <c r="L792"/>
    </row>
    <row r="793" spans="12:12" x14ac:dyDescent="0.25">
      <c r="L793"/>
    </row>
    <row r="794" spans="12:12" x14ac:dyDescent="0.25">
      <c r="L794"/>
    </row>
    <row r="795" spans="12:12" x14ac:dyDescent="0.25">
      <c r="L795"/>
    </row>
    <row r="796" spans="12:12" x14ac:dyDescent="0.25">
      <c r="L796"/>
    </row>
    <row r="797" spans="12:12" x14ac:dyDescent="0.25">
      <c r="L797"/>
    </row>
    <row r="798" spans="12:12" x14ac:dyDescent="0.25">
      <c r="L798"/>
    </row>
    <row r="799" spans="12:12" x14ac:dyDescent="0.25">
      <c r="L799"/>
    </row>
    <row r="800" spans="12:12" x14ac:dyDescent="0.25">
      <c r="L800"/>
    </row>
    <row r="801" spans="12:12" x14ac:dyDescent="0.25">
      <c r="L801"/>
    </row>
    <row r="802" spans="12:12" x14ac:dyDescent="0.25">
      <c r="L802"/>
    </row>
    <row r="803" spans="12:12" x14ac:dyDescent="0.25">
      <c r="L803"/>
    </row>
    <row r="804" spans="12:12" x14ac:dyDescent="0.25">
      <c r="L804"/>
    </row>
    <row r="805" spans="12:12" x14ac:dyDescent="0.25">
      <c r="L805"/>
    </row>
    <row r="806" spans="12:12" x14ac:dyDescent="0.25">
      <c r="L806"/>
    </row>
    <row r="807" spans="12:12" x14ac:dyDescent="0.25">
      <c r="L807"/>
    </row>
    <row r="808" spans="12:12" x14ac:dyDescent="0.25">
      <c r="L808"/>
    </row>
    <row r="809" spans="12:12" x14ac:dyDescent="0.25">
      <c r="L809"/>
    </row>
    <row r="810" spans="12:12" x14ac:dyDescent="0.25">
      <c r="L810"/>
    </row>
    <row r="811" spans="12:12" x14ac:dyDescent="0.25">
      <c r="L811"/>
    </row>
    <row r="812" spans="12:12" x14ac:dyDescent="0.25">
      <c r="L812"/>
    </row>
    <row r="813" spans="12:12" x14ac:dyDescent="0.25">
      <c r="L813"/>
    </row>
    <row r="814" spans="12:12" x14ac:dyDescent="0.25">
      <c r="L814"/>
    </row>
    <row r="815" spans="12:12" x14ac:dyDescent="0.25">
      <c r="L815"/>
    </row>
    <row r="816" spans="12:12" x14ac:dyDescent="0.25">
      <c r="L816"/>
    </row>
    <row r="817" spans="12:12" x14ac:dyDescent="0.25">
      <c r="L817"/>
    </row>
    <row r="818" spans="12:12" x14ac:dyDescent="0.25">
      <c r="L818"/>
    </row>
    <row r="819" spans="12:12" x14ac:dyDescent="0.25">
      <c r="L819"/>
    </row>
    <row r="820" spans="12:12" x14ac:dyDescent="0.25">
      <c r="L820"/>
    </row>
    <row r="821" spans="12:12" x14ac:dyDescent="0.25">
      <c r="L821"/>
    </row>
    <row r="822" spans="12:12" x14ac:dyDescent="0.25">
      <c r="L822"/>
    </row>
    <row r="823" spans="12:12" x14ac:dyDescent="0.25">
      <c r="L823"/>
    </row>
    <row r="824" spans="12:12" x14ac:dyDescent="0.25">
      <c r="L824"/>
    </row>
    <row r="825" spans="12:12" x14ac:dyDescent="0.25">
      <c r="L825"/>
    </row>
    <row r="826" spans="12:12" x14ac:dyDescent="0.25">
      <c r="L826"/>
    </row>
    <row r="827" spans="12:12" x14ac:dyDescent="0.25">
      <c r="L827"/>
    </row>
    <row r="828" spans="12:12" x14ac:dyDescent="0.25">
      <c r="L828"/>
    </row>
    <row r="829" spans="12:12" x14ac:dyDescent="0.25">
      <c r="L829"/>
    </row>
    <row r="830" spans="12:12" x14ac:dyDescent="0.25">
      <c r="L830"/>
    </row>
    <row r="831" spans="12:12" x14ac:dyDescent="0.25">
      <c r="L831"/>
    </row>
    <row r="832" spans="12:12" x14ac:dyDescent="0.25">
      <c r="L832"/>
    </row>
    <row r="833" spans="12:12" x14ac:dyDescent="0.25">
      <c r="L833"/>
    </row>
    <row r="834" spans="12:12" x14ac:dyDescent="0.25">
      <c r="L834"/>
    </row>
    <row r="835" spans="12:12" x14ac:dyDescent="0.25">
      <c r="L835"/>
    </row>
    <row r="836" spans="12:12" x14ac:dyDescent="0.25">
      <c r="L836"/>
    </row>
    <row r="837" spans="12:12" x14ac:dyDescent="0.25">
      <c r="L837"/>
    </row>
    <row r="838" spans="12:12" x14ac:dyDescent="0.25">
      <c r="L838"/>
    </row>
    <row r="839" spans="12:12" x14ac:dyDescent="0.25">
      <c r="L839"/>
    </row>
    <row r="840" spans="12:12" x14ac:dyDescent="0.25">
      <c r="L840"/>
    </row>
    <row r="841" spans="12:12" x14ac:dyDescent="0.25">
      <c r="L841"/>
    </row>
    <row r="842" spans="12:12" x14ac:dyDescent="0.25">
      <c r="L842"/>
    </row>
    <row r="843" spans="12:12" x14ac:dyDescent="0.25">
      <c r="L843"/>
    </row>
    <row r="844" spans="12:12" x14ac:dyDescent="0.25">
      <c r="L844"/>
    </row>
    <row r="845" spans="12:12" x14ac:dyDescent="0.25">
      <c r="L845"/>
    </row>
    <row r="846" spans="12:12" x14ac:dyDescent="0.25">
      <c r="L846"/>
    </row>
    <row r="847" spans="12:12" x14ac:dyDescent="0.25">
      <c r="L847"/>
    </row>
    <row r="848" spans="12:12" x14ac:dyDescent="0.25">
      <c r="L848"/>
    </row>
    <row r="849" spans="12:12" x14ac:dyDescent="0.25">
      <c r="L849"/>
    </row>
    <row r="850" spans="12:12" x14ac:dyDescent="0.25">
      <c r="L850"/>
    </row>
    <row r="851" spans="12:12" x14ac:dyDescent="0.25">
      <c r="L851"/>
    </row>
    <row r="852" spans="12:12" x14ac:dyDescent="0.25">
      <c r="L852"/>
    </row>
    <row r="853" spans="12:12" x14ac:dyDescent="0.25">
      <c r="L853"/>
    </row>
    <row r="854" spans="12:12" x14ac:dyDescent="0.25">
      <c r="L854"/>
    </row>
    <row r="855" spans="12:12" x14ac:dyDescent="0.25">
      <c r="L855"/>
    </row>
    <row r="856" spans="12:12" x14ac:dyDescent="0.25">
      <c r="L856"/>
    </row>
    <row r="857" spans="12:12" x14ac:dyDescent="0.25">
      <c r="L857"/>
    </row>
    <row r="858" spans="12:12" x14ac:dyDescent="0.25">
      <c r="L858"/>
    </row>
    <row r="859" spans="12:12" x14ac:dyDescent="0.25">
      <c r="L859"/>
    </row>
    <row r="860" spans="12:12" x14ac:dyDescent="0.25">
      <c r="L860"/>
    </row>
    <row r="861" spans="12:12" x14ac:dyDescent="0.25">
      <c r="L861"/>
    </row>
    <row r="862" spans="12:12" x14ac:dyDescent="0.25">
      <c r="L862"/>
    </row>
    <row r="863" spans="12:12" x14ac:dyDescent="0.25">
      <c r="L863"/>
    </row>
    <row r="864" spans="12:12" x14ac:dyDescent="0.25">
      <c r="L864"/>
    </row>
    <row r="865" spans="12:12" x14ac:dyDescent="0.25">
      <c r="L865"/>
    </row>
    <row r="866" spans="12:12" x14ac:dyDescent="0.25">
      <c r="L866"/>
    </row>
    <row r="867" spans="12:12" x14ac:dyDescent="0.25">
      <c r="L867"/>
    </row>
    <row r="868" spans="12:12" x14ac:dyDescent="0.25">
      <c r="L868"/>
    </row>
    <row r="869" spans="12:12" x14ac:dyDescent="0.25">
      <c r="L869"/>
    </row>
    <row r="870" spans="12:12" x14ac:dyDescent="0.25">
      <c r="L870"/>
    </row>
    <row r="871" spans="12:12" x14ac:dyDescent="0.25">
      <c r="L871"/>
    </row>
    <row r="872" spans="12:12" x14ac:dyDescent="0.25">
      <c r="L872"/>
    </row>
    <row r="873" spans="12:12" x14ac:dyDescent="0.25">
      <c r="L873"/>
    </row>
    <row r="874" spans="12:12" x14ac:dyDescent="0.25">
      <c r="L874"/>
    </row>
    <row r="875" spans="12:12" x14ac:dyDescent="0.25">
      <c r="L875"/>
    </row>
    <row r="876" spans="12:12" x14ac:dyDescent="0.25">
      <c r="L876"/>
    </row>
    <row r="877" spans="12:12" x14ac:dyDescent="0.25">
      <c r="L877"/>
    </row>
    <row r="878" spans="12:12" x14ac:dyDescent="0.25">
      <c r="L878"/>
    </row>
    <row r="879" spans="12:12" x14ac:dyDescent="0.25">
      <c r="L879"/>
    </row>
    <row r="880" spans="12:12" x14ac:dyDescent="0.25">
      <c r="L880"/>
    </row>
    <row r="881" spans="12:12" x14ac:dyDescent="0.25">
      <c r="L881"/>
    </row>
    <row r="882" spans="12:12" x14ac:dyDescent="0.25">
      <c r="L882"/>
    </row>
    <row r="883" spans="12:12" x14ac:dyDescent="0.25">
      <c r="L883"/>
    </row>
    <row r="884" spans="12:12" x14ac:dyDescent="0.25">
      <c r="L884"/>
    </row>
    <row r="885" spans="12:12" x14ac:dyDescent="0.25">
      <c r="L885"/>
    </row>
    <row r="886" spans="12:12" x14ac:dyDescent="0.25">
      <c r="L886"/>
    </row>
    <row r="887" spans="12:12" x14ac:dyDescent="0.25">
      <c r="L887"/>
    </row>
    <row r="888" spans="12:12" x14ac:dyDescent="0.25">
      <c r="L888"/>
    </row>
    <row r="889" spans="12:12" x14ac:dyDescent="0.25">
      <c r="L889"/>
    </row>
    <row r="890" spans="12:12" x14ac:dyDescent="0.25">
      <c r="L890"/>
    </row>
    <row r="891" spans="12:12" x14ac:dyDescent="0.25">
      <c r="L891"/>
    </row>
    <row r="892" spans="12:12" x14ac:dyDescent="0.25">
      <c r="L892"/>
    </row>
    <row r="893" spans="12:12" x14ac:dyDescent="0.25">
      <c r="L893"/>
    </row>
    <row r="894" spans="12:12" x14ac:dyDescent="0.25">
      <c r="L894"/>
    </row>
    <row r="895" spans="12:12" x14ac:dyDescent="0.25">
      <c r="L895"/>
    </row>
    <row r="896" spans="12:12" x14ac:dyDescent="0.25">
      <c r="L896"/>
    </row>
    <row r="897" spans="12:12" x14ac:dyDescent="0.25">
      <c r="L897"/>
    </row>
    <row r="898" spans="12:12" x14ac:dyDescent="0.25">
      <c r="L898"/>
    </row>
    <row r="899" spans="12:12" x14ac:dyDescent="0.25">
      <c r="L899"/>
    </row>
    <row r="900" spans="12:12" x14ac:dyDescent="0.25">
      <c r="L900"/>
    </row>
    <row r="901" spans="12:12" x14ac:dyDescent="0.25">
      <c r="L901"/>
    </row>
    <row r="902" spans="12:12" x14ac:dyDescent="0.25">
      <c r="L902"/>
    </row>
    <row r="903" spans="12:12" x14ac:dyDescent="0.25">
      <c r="L903"/>
    </row>
    <row r="904" spans="12:12" x14ac:dyDescent="0.25">
      <c r="L904"/>
    </row>
    <row r="905" spans="12:12" x14ac:dyDescent="0.25">
      <c r="L905"/>
    </row>
    <row r="906" spans="12:12" x14ac:dyDescent="0.25">
      <c r="L906"/>
    </row>
    <row r="907" spans="12:12" x14ac:dyDescent="0.25">
      <c r="L907"/>
    </row>
    <row r="908" spans="12:12" x14ac:dyDescent="0.25">
      <c r="L908"/>
    </row>
    <row r="909" spans="12:12" x14ac:dyDescent="0.25">
      <c r="L909"/>
    </row>
    <row r="910" spans="12:12" x14ac:dyDescent="0.25">
      <c r="L910"/>
    </row>
    <row r="911" spans="12:12" x14ac:dyDescent="0.25">
      <c r="L911"/>
    </row>
    <row r="912" spans="12:12" x14ac:dyDescent="0.25">
      <c r="L912"/>
    </row>
    <row r="913" spans="12:12" x14ac:dyDescent="0.25">
      <c r="L913"/>
    </row>
    <row r="914" spans="12:12" x14ac:dyDescent="0.25">
      <c r="L914"/>
    </row>
    <row r="915" spans="12:12" x14ac:dyDescent="0.25">
      <c r="L915"/>
    </row>
    <row r="916" spans="12:12" x14ac:dyDescent="0.25">
      <c r="L916"/>
    </row>
    <row r="917" spans="12:12" x14ac:dyDescent="0.25">
      <c r="L917"/>
    </row>
    <row r="918" spans="12:12" x14ac:dyDescent="0.25">
      <c r="L918"/>
    </row>
    <row r="919" spans="12:12" x14ac:dyDescent="0.25">
      <c r="L919"/>
    </row>
    <row r="920" spans="12:12" x14ac:dyDescent="0.25">
      <c r="L920"/>
    </row>
    <row r="921" spans="12:12" x14ac:dyDescent="0.25">
      <c r="L921"/>
    </row>
    <row r="922" spans="12:12" x14ac:dyDescent="0.25">
      <c r="L922"/>
    </row>
    <row r="923" spans="12:12" x14ac:dyDescent="0.25">
      <c r="L923"/>
    </row>
    <row r="924" spans="12:12" x14ac:dyDescent="0.25">
      <c r="L924"/>
    </row>
    <row r="925" spans="12:12" x14ac:dyDescent="0.25">
      <c r="L925"/>
    </row>
    <row r="926" spans="12:12" x14ac:dyDescent="0.25">
      <c r="L926"/>
    </row>
    <row r="927" spans="12:12" x14ac:dyDescent="0.25">
      <c r="L927"/>
    </row>
    <row r="928" spans="12:12" x14ac:dyDescent="0.25">
      <c r="L928"/>
    </row>
    <row r="929" spans="12:12" x14ac:dyDescent="0.25">
      <c r="L929"/>
    </row>
    <row r="930" spans="12:12" x14ac:dyDescent="0.25">
      <c r="L930"/>
    </row>
    <row r="931" spans="12:12" x14ac:dyDescent="0.25">
      <c r="L931"/>
    </row>
    <row r="932" spans="12:12" x14ac:dyDescent="0.25">
      <c r="L932"/>
    </row>
    <row r="933" spans="12:12" x14ac:dyDescent="0.25">
      <c r="L933"/>
    </row>
    <row r="934" spans="12:12" x14ac:dyDescent="0.25">
      <c r="L934"/>
    </row>
    <row r="935" spans="12:12" x14ac:dyDescent="0.25">
      <c r="L935"/>
    </row>
    <row r="936" spans="12:12" x14ac:dyDescent="0.25">
      <c r="L936"/>
    </row>
    <row r="937" spans="12:12" x14ac:dyDescent="0.25">
      <c r="L937"/>
    </row>
    <row r="938" spans="12:12" x14ac:dyDescent="0.25">
      <c r="L938"/>
    </row>
    <row r="939" spans="12:12" x14ac:dyDescent="0.25">
      <c r="L939"/>
    </row>
    <row r="940" spans="12:12" x14ac:dyDescent="0.25">
      <c r="L940"/>
    </row>
    <row r="941" spans="12:12" x14ac:dyDescent="0.25">
      <c r="L941"/>
    </row>
    <row r="942" spans="12:12" x14ac:dyDescent="0.25">
      <c r="L942"/>
    </row>
    <row r="943" spans="12:12" x14ac:dyDescent="0.25">
      <c r="L943"/>
    </row>
    <row r="944" spans="12:12" x14ac:dyDescent="0.25">
      <c r="L944"/>
    </row>
    <row r="945" spans="12:12" x14ac:dyDescent="0.25">
      <c r="L945"/>
    </row>
    <row r="946" spans="12:12" x14ac:dyDescent="0.25">
      <c r="L946"/>
    </row>
    <row r="947" spans="12:12" x14ac:dyDescent="0.25">
      <c r="L947"/>
    </row>
    <row r="948" spans="12:12" x14ac:dyDescent="0.25">
      <c r="L948"/>
    </row>
    <row r="949" spans="12:12" x14ac:dyDescent="0.25">
      <c r="L949"/>
    </row>
    <row r="950" spans="12:12" x14ac:dyDescent="0.25">
      <c r="L950"/>
    </row>
    <row r="951" spans="12:12" x14ac:dyDescent="0.25">
      <c r="L951"/>
    </row>
    <row r="952" spans="12:12" x14ac:dyDescent="0.25">
      <c r="L952"/>
    </row>
    <row r="953" spans="12:12" x14ac:dyDescent="0.25">
      <c r="L953"/>
    </row>
    <row r="954" spans="12:12" x14ac:dyDescent="0.25">
      <c r="L954"/>
    </row>
    <row r="955" spans="12:12" x14ac:dyDescent="0.25">
      <c r="L955"/>
    </row>
    <row r="956" spans="12:12" x14ac:dyDescent="0.25">
      <c r="L956"/>
    </row>
    <row r="957" spans="12:12" x14ac:dyDescent="0.25">
      <c r="L957"/>
    </row>
    <row r="958" spans="12:12" x14ac:dyDescent="0.25">
      <c r="L958"/>
    </row>
    <row r="959" spans="12:12" x14ac:dyDescent="0.25">
      <c r="L959"/>
    </row>
    <row r="960" spans="12:12" x14ac:dyDescent="0.25">
      <c r="L960"/>
    </row>
    <row r="961" spans="12:12" x14ac:dyDescent="0.25">
      <c r="L961"/>
    </row>
    <row r="962" spans="12:12" x14ac:dyDescent="0.25">
      <c r="L962"/>
    </row>
    <row r="963" spans="12:12" x14ac:dyDescent="0.25">
      <c r="L963"/>
    </row>
    <row r="964" spans="12:12" x14ac:dyDescent="0.25">
      <c r="L964"/>
    </row>
    <row r="965" spans="12:12" x14ac:dyDescent="0.25">
      <c r="L965"/>
    </row>
    <row r="966" spans="12:12" x14ac:dyDescent="0.25">
      <c r="L966"/>
    </row>
    <row r="967" spans="12:12" x14ac:dyDescent="0.25">
      <c r="L967"/>
    </row>
    <row r="968" spans="12:12" x14ac:dyDescent="0.25">
      <c r="L968"/>
    </row>
    <row r="969" spans="12:12" x14ac:dyDescent="0.25">
      <c r="L969"/>
    </row>
    <row r="970" spans="12:12" x14ac:dyDescent="0.25">
      <c r="L970"/>
    </row>
    <row r="971" spans="12:12" x14ac:dyDescent="0.25">
      <c r="L971"/>
    </row>
    <row r="972" spans="12:12" x14ac:dyDescent="0.25">
      <c r="L972"/>
    </row>
    <row r="973" spans="12:12" x14ac:dyDescent="0.25">
      <c r="L973"/>
    </row>
    <row r="974" spans="12:12" x14ac:dyDescent="0.25">
      <c r="L974"/>
    </row>
    <row r="975" spans="12:12" x14ac:dyDescent="0.25">
      <c r="L975"/>
    </row>
    <row r="976" spans="12:12" x14ac:dyDescent="0.25">
      <c r="L976"/>
    </row>
    <row r="977" spans="12:12" x14ac:dyDescent="0.25">
      <c r="L977"/>
    </row>
    <row r="978" spans="12:12" x14ac:dyDescent="0.25">
      <c r="L978"/>
    </row>
    <row r="979" spans="12:12" x14ac:dyDescent="0.25">
      <c r="L979"/>
    </row>
    <row r="980" spans="12:12" x14ac:dyDescent="0.25">
      <c r="L980"/>
    </row>
    <row r="981" spans="12:12" x14ac:dyDescent="0.25">
      <c r="L981"/>
    </row>
    <row r="982" spans="12:12" x14ac:dyDescent="0.25">
      <c r="L982"/>
    </row>
    <row r="983" spans="12:12" x14ac:dyDescent="0.25">
      <c r="L983"/>
    </row>
    <row r="984" spans="12:12" x14ac:dyDescent="0.25">
      <c r="L984"/>
    </row>
    <row r="985" spans="12:12" x14ac:dyDescent="0.25">
      <c r="L985"/>
    </row>
    <row r="986" spans="12:12" x14ac:dyDescent="0.25">
      <c r="L986"/>
    </row>
    <row r="987" spans="12:12" x14ac:dyDescent="0.25">
      <c r="L987"/>
    </row>
    <row r="988" spans="12:12" x14ac:dyDescent="0.25">
      <c r="L988"/>
    </row>
    <row r="989" spans="12:12" x14ac:dyDescent="0.25">
      <c r="L989"/>
    </row>
    <row r="990" spans="12:12" x14ac:dyDescent="0.25">
      <c r="L990"/>
    </row>
    <row r="991" spans="12:12" x14ac:dyDescent="0.25">
      <c r="L991"/>
    </row>
    <row r="992" spans="12:12" x14ac:dyDescent="0.25">
      <c r="L992"/>
    </row>
    <row r="993" spans="12:12" x14ac:dyDescent="0.25">
      <c r="L993"/>
    </row>
    <row r="994" spans="12:12" x14ac:dyDescent="0.25">
      <c r="L994"/>
    </row>
    <row r="995" spans="12:12" x14ac:dyDescent="0.25">
      <c r="L995"/>
    </row>
    <row r="996" spans="12:12" x14ac:dyDescent="0.25">
      <c r="L996"/>
    </row>
    <row r="997" spans="12:12" x14ac:dyDescent="0.25">
      <c r="L997"/>
    </row>
    <row r="998" spans="12:12" x14ac:dyDescent="0.25">
      <c r="L998"/>
    </row>
    <row r="999" spans="12:12" x14ac:dyDescent="0.25">
      <c r="L999"/>
    </row>
    <row r="1000" spans="12:12" x14ac:dyDescent="0.25">
      <c r="L1000"/>
    </row>
    <row r="1001" spans="12:12" x14ac:dyDescent="0.25">
      <c r="L1001"/>
    </row>
    <row r="1002" spans="12:12" x14ac:dyDescent="0.25">
      <c r="L1002"/>
    </row>
    <row r="1003" spans="12:12" x14ac:dyDescent="0.25">
      <c r="L1003"/>
    </row>
    <row r="1004" spans="12:12" x14ac:dyDescent="0.25">
      <c r="L1004"/>
    </row>
    <row r="1005" spans="12:12" x14ac:dyDescent="0.25">
      <c r="L1005"/>
    </row>
    <row r="1006" spans="12:12" x14ac:dyDescent="0.25">
      <c r="L1006"/>
    </row>
    <row r="1007" spans="12:12" x14ac:dyDescent="0.25">
      <c r="L1007"/>
    </row>
    <row r="1008" spans="12:12" x14ac:dyDescent="0.25">
      <c r="L1008"/>
    </row>
    <row r="1009" spans="12:12" x14ac:dyDescent="0.25">
      <c r="L1009"/>
    </row>
    <row r="1010" spans="12:12" x14ac:dyDescent="0.25">
      <c r="L1010"/>
    </row>
    <row r="1011" spans="12:12" x14ac:dyDescent="0.25">
      <c r="L1011"/>
    </row>
    <row r="1012" spans="12:12" x14ac:dyDescent="0.25">
      <c r="L1012"/>
    </row>
    <row r="1013" spans="12:12" x14ac:dyDescent="0.25">
      <c r="L1013"/>
    </row>
    <row r="1014" spans="12:12" x14ac:dyDescent="0.25">
      <c r="L1014"/>
    </row>
    <row r="1015" spans="12:12" x14ac:dyDescent="0.25">
      <c r="L1015"/>
    </row>
    <row r="1016" spans="12:12" x14ac:dyDescent="0.25">
      <c r="L1016"/>
    </row>
    <row r="1017" spans="12:12" x14ac:dyDescent="0.25">
      <c r="L1017"/>
    </row>
    <row r="1018" spans="12:12" x14ac:dyDescent="0.25">
      <c r="L1018"/>
    </row>
    <row r="1019" spans="12:12" x14ac:dyDescent="0.25">
      <c r="L1019"/>
    </row>
    <row r="1020" spans="12:12" x14ac:dyDescent="0.25">
      <c r="L1020"/>
    </row>
    <row r="1021" spans="12:12" x14ac:dyDescent="0.25">
      <c r="L1021"/>
    </row>
    <row r="1022" spans="12:12" x14ac:dyDescent="0.25">
      <c r="L1022"/>
    </row>
    <row r="1023" spans="12:12" x14ac:dyDescent="0.25">
      <c r="L1023"/>
    </row>
    <row r="1024" spans="12:12" x14ac:dyDescent="0.25">
      <c r="L1024"/>
    </row>
    <row r="1025" spans="12:12" x14ac:dyDescent="0.25">
      <c r="L1025"/>
    </row>
    <row r="1026" spans="12:12" x14ac:dyDescent="0.25">
      <c r="L1026"/>
    </row>
    <row r="1027" spans="12:12" x14ac:dyDescent="0.25">
      <c r="L1027"/>
    </row>
    <row r="1028" spans="12:12" x14ac:dyDescent="0.25">
      <c r="L1028"/>
    </row>
    <row r="1029" spans="12:12" x14ac:dyDescent="0.25">
      <c r="L1029"/>
    </row>
    <row r="1030" spans="12:12" x14ac:dyDescent="0.25">
      <c r="L1030"/>
    </row>
    <row r="1031" spans="12:12" x14ac:dyDescent="0.25">
      <c r="L1031"/>
    </row>
    <row r="1032" spans="12:12" x14ac:dyDescent="0.25">
      <c r="L1032"/>
    </row>
    <row r="1033" spans="12:12" x14ac:dyDescent="0.25">
      <c r="L1033"/>
    </row>
    <row r="1034" spans="12:12" x14ac:dyDescent="0.25">
      <c r="L1034"/>
    </row>
    <row r="1035" spans="12:12" x14ac:dyDescent="0.25">
      <c r="L1035"/>
    </row>
    <row r="1036" spans="12:12" x14ac:dyDescent="0.25">
      <c r="L1036"/>
    </row>
    <row r="1037" spans="12:12" x14ac:dyDescent="0.25">
      <c r="L1037"/>
    </row>
    <row r="1038" spans="12:12" x14ac:dyDescent="0.25">
      <c r="L1038"/>
    </row>
    <row r="1039" spans="12:12" x14ac:dyDescent="0.25">
      <c r="L1039"/>
    </row>
    <row r="1040" spans="12:12" x14ac:dyDescent="0.25">
      <c r="L1040"/>
    </row>
    <row r="1041" spans="12:12" x14ac:dyDescent="0.25">
      <c r="L1041"/>
    </row>
    <row r="1042" spans="12:12" x14ac:dyDescent="0.25">
      <c r="L1042"/>
    </row>
    <row r="1043" spans="12:12" x14ac:dyDescent="0.25">
      <c r="L1043"/>
    </row>
    <row r="1044" spans="12:12" x14ac:dyDescent="0.25">
      <c r="L1044"/>
    </row>
    <row r="1045" spans="12:12" x14ac:dyDescent="0.25">
      <c r="L1045"/>
    </row>
    <row r="1046" spans="12:12" x14ac:dyDescent="0.25">
      <c r="L1046"/>
    </row>
    <row r="1047" spans="12:12" x14ac:dyDescent="0.25">
      <c r="L1047"/>
    </row>
    <row r="1048" spans="12:12" x14ac:dyDescent="0.25">
      <c r="L1048"/>
    </row>
    <row r="1049" spans="12:12" x14ac:dyDescent="0.25">
      <c r="L1049"/>
    </row>
    <row r="1050" spans="12:12" x14ac:dyDescent="0.25">
      <c r="L1050"/>
    </row>
    <row r="1051" spans="12:12" x14ac:dyDescent="0.25">
      <c r="L1051"/>
    </row>
    <row r="1052" spans="12:12" x14ac:dyDescent="0.25">
      <c r="L1052"/>
    </row>
    <row r="1053" spans="12:12" x14ac:dyDescent="0.25">
      <c r="L1053"/>
    </row>
    <row r="1054" spans="12:12" x14ac:dyDescent="0.25">
      <c r="L1054"/>
    </row>
    <row r="1055" spans="12:12" x14ac:dyDescent="0.25">
      <c r="L1055"/>
    </row>
    <row r="1056" spans="12:12" x14ac:dyDescent="0.25">
      <c r="L1056"/>
    </row>
    <row r="1057" spans="12:12" x14ac:dyDescent="0.25">
      <c r="L1057"/>
    </row>
    <row r="1058" spans="12:12" x14ac:dyDescent="0.25">
      <c r="L1058"/>
    </row>
    <row r="1059" spans="12:12" x14ac:dyDescent="0.25">
      <c r="L1059"/>
    </row>
    <row r="1060" spans="12:12" x14ac:dyDescent="0.25">
      <c r="L1060"/>
    </row>
    <row r="1061" spans="12:12" x14ac:dyDescent="0.25">
      <c r="L1061"/>
    </row>
    <row r="1062" spans="12:12" x14ac:dyDescent="0.25">
      <c r="L1062"/>
    </row>
    <row r="1063" spans="12:12" x14ac:dyDescent="0.25">
      <c r="L1063"/>
    </row>
    <row r="1064" spans="12:12" x14ac:dyDescent="0.25">
      <c r="L1064"/>
    </row>
    <row r="1065" spans="12:12" x14ac:dyDescent="0.25">
      <c r="L1065"/>
    </row>
    <row r="1066" spans="12:12" x14ac:dyDescent="0.25">
      <c r="L1066"/>
    </row>
    <row r="1067" spans="12:12" x14ac:dyDescent="0.25">
      <c r="L1067"/>
    </row>
    <row r="1068" spans="12:12" x14ac:dyDescent="0.25">
      <c r="L1068"/>
    </row>
    <row r="1069" spans="12:12" x14ac:dyDescent="0.25">
      <c r="L1069"/>
    </row>
    <row r="1070" spans="12:12" x14ac:dyDescent="0.25">
      <c r="L1070"/>
    </row>
    <row r="1071" spans="12:12" x14ac:dyDescent="0.25">
      <c r="L1071"/>
    </row>
    <row r="1072" spans="12:12" x14ac:dyDescent="0.25">
      <c r="L1072"/>
    </row>
    <row r="1073" spans="12:12" x14ac:dyDescent="0.25">
      <c r="L1073"/>
    </row>
    <row r="1074" spans="12:12" x14ac:dyDescent="0.25">
      <c r="L1074"/>
    </row>
    <row r="1075" spans="12:12" x14ac:dyDescent="0.25">
      <c r="L1075"/>
    </row>
    <row r="1076" spans="12:12" x14ac:dyDescent="0.25">
      <c r="L1076"/>
    </row>
    <row r="1077" spans="12:12" x14ac:dyDescent="0.25">
      <c r="L1077"/>
    </row>
    <row r="1078" spans="12:12" x14ac:dyDescent="0.25">
      <c r="L1078"/>
    </row>
    <row r="1079" spans="12:12" x14ac:dyDescent="0.25">
      <c r="L1079"/>
    </row>
    <row r="1080" spans="12:12" x14ac:dyDescent="0.25">
      <c r="L1080"/>
    </row>
    <row r="1081" spans="12:12" x14ac:dyDescent="0.25">
      <c r="L1081"/>
    </row>
    <row r="1082" spans="12:12" x14ac:dyDescent="0.25">
      <c r="L1082"/>
    </row>
    <row r="1083" spans="12:12" x14ac:dyDescent="0.25">
      <c r="L1083"/>
    </row>
    <row r="1084" spans="12:12" x14ac:dyDescent="0.25">
      <c r="L1084"/>
    </row>
    <row r="1085" spans="12:12" x14ac:dyDescent="0.25">
      <c r="L1085"/>
    </row>
    <row r="1086" spans="12:12" x14ac:dyDescent="0.25">
      <c r="L1086"/>
    </row>
    <row r="1087" spans="12:12" x14ac:dyDescent="0.25">
      <c r="L1087"/>
    </row>
    <row r="1088" spans="12:12" x14ac:dyDescent="0.25">
      <c r="L1088"/>
    </row>
    <row r="1089" spans="12:12" x14ac:dyDescent="0.25">
      <c r="L1089"/>
    </row>
    <row r="1090" spans="12:12" x14ac:dyDescent="0.25">
      <c r="L1090"/>
    </row>
    <row r="1091" spans="12:12" x14ac:dyDescent="0.25">
      <c r="L1091"/>
    </row>
    <row r="1092" spans="12:12" x14ac:dyDescent="0.25">
      <c r="L1092"/>
    </row>
    <row r="1093" spans="12:12" x14ac:dyDescent="0.25">
      <c r="L1093"/>
    </row>
    <row r="1094" spans="12:12" x14ac:dyDescent="0.25">
      <c r="L1094"/>
    </row>
    <row r="1095" spans="12:12" x14ac:dyDescent="0.25">
      <c r="L1095"/>
    </row>
    <row r="1096" spans="12:12" x14ac:dyDescent="0.25">
      <c r="L1096"/>
    </row>
    <row r="1097" spans="12:12" x14ac:dyDescent="0.25">
      <c r="L1097"/>
    </row>
    <row r="1098" spans="12:12" x14ac:dyDescent="0.25">
      <c r="L1098"/>
    </row>
    <row r="1099" spans="12:12" x14ac:dyDescent="0.25">
      <c r="L1099"/>
    </row>
    <row r="1100" spans="12:12" x14ac:dyDescent="0.25">
      <c r="L1100"/>
    </row>
    <row r="1101" spans="12:12" x14ac:dyDescent="0.25">
      <c r="L1101"/>
    </row>
    <row r="1102" spans="12:12" x14ac:dyDescent="0.25">
      <c r="L1102"/>
    </row>
    <row r="1103" spans="12:12" x14ac:dyDescent="0.25">
      <c r="L1103"/>
    </row>
    <row r="1104" spans="12:12" x14ac:dyDescent="0.25">
      <c r="L1104"/>
    </row>
    <row r="1105" spans="12:12" x14ac:dyDescent="0.25">
      <c r="L1105"/>
    </row>
    <row r="1106" spans="12:12" x14ac:dyDescent="0.25">
      <c r="L1106"/>
    </row>
    <row r="1107" spans="12:12" x14ac:dyDescent="0.25">
      <c r="L1107"/>
    </row>
    <row r="1108" spans="12:12" x14ac:dyDescent="0.25">
      <c r="L1108"/>
    </row>
    <row r="1109" spans="12:12" x14ac:dyDescent="0.25">
      <c r="L1109"/>
    </row>
    <row r="1110" spans="12:12" x14ac:dyDescent="0.25">
      <c r="L1110"/>
    </row>
    <row r="1111" spans="12:12" x14ac:dyDescent="0.25">
      <c r="L1111"/>
    </row>
    <row r="1112" spans="12:12" x14ac:dyDescent="0.25">
      <c r="L1112"/>
    </row>
    <row r="1113" spans="12:12" x14ac:dyDescent="0.25">
      <c r="L1113"/>
    </row>
    <row r="1114" spans="12:12" x14ac:dyDescent="0.25">
      <c r="L1114"/>
    </row>
    <row r="1115" spans="12:12" x14ac:dyDescent="0.25">
      <c r="L1115"/>
    </row>
    <row r="1116" spans="12:12" x14ac:dyDescent="0.25">
      <c r="L1116"/>
    </row>
    <row r="1117" spans="12:12" x14ac:dyDescent="0.25">
      <c r="L1117"/>
    </row>
    <row r="1118" spans="12:12" x14ac:dyDescent="0.25">
      <c r="L1118"/>
    </row>
    <row r="1119" spans="12:12" x14ac:dyDescent="0.25">
      <c r="L1119"/>
    </row>
    <row r="1120" spans="12:12" x14ac:dyDescent="0.25">
      <c r="L1120"/>
    </row>
    <row r="1121" spans="12:12" x14ac:dyDescent="0.25">
      <c r="L1121"/>
    </row>
    <row r="1122" spans="12:12" x14ac:dyDescent="0.25">
      <c r="L1122"/>
    </row>
    <row r="1123" spans="12:12" x14ac:dyDescent="0.25">
      <c r="L1123"/>
    </row>
    <row r="1124" spans="12:12" x14ac:dyDescent="0.25">
      <c r="L1124"/>
    </row>
    <row r="1125" spans="12:12" x14ac:dyDescent="0.25">
      <c r="L1125"/>
    </row>
    <row r="1126" spans="12:12" x14ac:dyDescent="0.25">
      <c r="L1126"/>
    </row>
    <row r="1127" spans="12:12" x14ac:dyDescent="0.25">
      <c r="L1127"/>
    </row>
    <row r="1128" spans="12:12" x14ac:dyDescent="0.25">
      <c r="L1128"/>
    </row>
    <row r="1129" spans="12:12" x14ac:dyDescent="0.25">
      <c r="L1129"/>
    </row>
    <row r="1130" spans="12:12" x14ac:dyDescent="0.25">
      <c r="L1130"/>
    </row>
    <row r="1131" spans="12:12" x14ac:dyDescent="0.25">
      <c r="L1131"/>
    </row>
    <row r="1132" spans="12:12" x14ac:dyDescent="0.25">
      <c r="L1132"/>
    </row>
    <row r="1133" spans="12:12" x14ac:dyDescent="0.25">
      <c r="L1133"/>
    </row>
    <row r="1134" spans="12:12" x14ac:dyDescent="0.25">
      <c r="L1134"/>
    </row>
    <row r="1135" spans="12:12" x14ac:dyDescent="0.25">
      <c r="L1135"/>
    </row>
    <row r="1136" spans="12:12" x14ac:dyDescent="0.25">
      <c r="L1136"/>
    </row>
    <row r="1137" spans="12:12" x14ac:dyDescent="0.25">
      <c r="L1137"/>
    </row>
    <row r="1138" spans="12:12" x14ac:dyDescent="0.25">
      <c r="L1138"/>
    </row>
    <row r="1139" spans="12:12" x14ac:dyDescent="0.25">
      <c r="L1139"/>
    </row>
    <row r="1140" spans="12:12" x14ac:dyDescent="0.25">
      <c r="L1140"/>
    </row>
    <row r="1141" spans="12:12" x14ac:dyDescent="0.25">
      <c r="L1141"/>
    </row>
    <row r="1142" spans="12:12" x14ac:dyDescent="0.25">
      <c r="L1142"/>
    </row>
    <row r="1143" spans="12:12" x14ac:dyDescent="0.25">
      <c r="L1143"/>
    </row>
    <row r="1144" spans="12:12" x14ac:dyDescent="0.25">
      <c r="L1144"/>
    </row>
    <row r="1145" spans="12:12" x14ac:dyDescent="0.25">
      <c r="L1145"/>
    </row>
    <row r="1146" spans="12:12" x14ac:dyDescent="0.25">
      <c r="L1146"/>
    </row>
    <row r="1147" spans="12:12" x14ac:dyDescent="0.25">
      <c r="L1147"/>
    </row>
    <row r="1148" spans="12:12" x14ac:dyDescent="0.25">
      <c r="L1148"/>
    </row>
    <row r="1149" spans="12:12" x14ac:dyDescent="0.25">
      <c r="L1149"/>
    </row>
    <row r="1150" spans="12:12" x14ac:dyDescent="0.25">
      <c r="L1150"/>
    </row>
    <row r="1151" spans="12:12" x14ac:dyDescent="0.25">
      <c r="L1151"/>
    </row>
    <row r="1152" spans="12:12" x14ac:dyDescent="0.25">
      <c r="L1152"/>
    </row>
    <row r="1153" spans="12:12" x14ac:dyDescent="0.25">
      <c r="L1153"/>
    </row>
    <row r="1154" spans="12:12" x14ac:dyDescent="0.25">
      <c r="L1154"/>
    </row>
    <row r="1155" spans="12:12" x14ac:dyDescent="0.25">
      <c r="L1155"/>
    </row>
    <row r="1156" spans="12:12" x14ac:dyDescent="0.25">
      <c r="L1156"/>
    </row>
    <row r="1157" spans="12:12" x14ac:dyDescent="0.25">
      <c r="L1157"/>
    </row>
    <row r="1158" spans="12:12" x14ac:dyDescent="0.25">
      <c r="L1158"/>
    </row>
    <row r="1159" spans="12:12" x14ac:dyDescent="0.25">
      <c r="L1159"/>
    </row>
    <row r="1160" spans="12:12" x14ac:dyDescent="0.25">
      <c r="L1160"/>
    </row>
    <row r="1161" spans="12:12" x14ac:dyDescent="0.25">
      <c r="L1161"/>
    </row>
    <row r="1162" spans="12:12" x14ac:dyDescent="0.25">
      <c r="L1162"/>
    </row>
    <row r="1163" spans="12:12" x14ac:dyDescent="0.25">
      <c r="L1163"/>
    </row>
    <row r="1164" spans="12:12" x14ac:dyDescent="0.25">
      <c r="L1164"/>
    </row>
    <row r="1165" spans="12:12" x14ac:dyDescent="0.25">
      <c r="L1165"/>
    </row>
    <row r="1166" spans="12:12" x14ac:dyDescent="0.25">
      <c r="L1166"/>
    </row>
    <row r="1167" spans="12:12" x14ac:dyDescent="0.25">
      <c r="L1167"/>
    </row>
    <row r="1168" spans="12:12" x14ac:dyDescent="0.25">
      <c r="L1168"/>
    </row>
    <row r="1169" spans="12:12" x14ac:dyDescent="0.25">
      <c r="L1169"/>
    </row>
    <row r="1170" spans="12:12" x14ac:dyDescent="0.25">
      <c r="L1170"/>
    </row>
    <row r="1171" spans="12:12" x14ac:dyDescent="0.25">
      <c r="L1171"/>
    </row>
    <row r="1172" spans="12:12" x14ac:dyDescent="0.25">
      <c r="L1172"/>
    </row>
    <row r="1173" spans="12:12" x14ac:dyDescent="0.25">
      <c r="L1173"/>
    </row>
    <row r="1174" spans="12:12" x14ac:dyDescent="0.25">
      <c r="L1174"/>
    </row>
    <row r="1175" spans="12:12" x14ac:dyDescent="0.25">
      <c r="L1175"/>
    </row>
    <row r="1176" spans="12:12" x14ac:dyDescent="0.25">
      <c r="L1176"/>
    </row>
    <row r="1177" spans="12:12" x14ac:dyDescent="0.25">
      <c r="L1177"/>
    </row>
    <row r="1178" spans="12:12" x14ac:dyDescent="0.25">
      <c r="L1178"/>
    </row>
    <row r="1179" spans="12:12" x14ac:dyDescent="0.25">
      <c r="L1179"/>
    </row>
    <row r="1180" spans="12:12" x14ac:dyDescent="0.25">
      <c r="L1180"/>
    </row>
    <row r="1181" spans="12:12" x14ac:dyDescent="0.25">
      <c r="L1181"/>
    </row>
    <row r="1182" spans="12:12" x14ac:dyDescent="0.25">
      <c r="L1182"/>
    </row>
    <row r="1183" spans="12:12" x14ac:dyDescent="0.25">
      <c r="L1183"/>
    </row>
    <row r="1184" spans="12:12" x14ac:dyDescent="0.25">
      <c r="L1184"/>
    </row>
    <row r="1185" spans="12:12" x14ac:dyDescent="0.25">
      <c r="L1185"/>
    </row>
    <row r="1186" spans="12:12" x14ac:dyDescent="0.25">
      <c r="L1186"/>
    </row>
    <row r="1187" spans="12:12" x14ac:dyDescent="0.25">
      <c r="L1187"/>
    </row>
    <row r="1188" spans="12:12" x14ac:dyDescent="0.25">
      <c r="L1188"/>
    </row>
    <row r="1189" spans="12:12" x14ac:dyDescent="0.25">
      <c r="L1189"/>
    </row>
    <row r="1190" spans="12:12" x14ac:dyDescent="0.25">
      <c r="L1190"/>
    </row>
    <row r="1191" spans="12:12" x14ac:dyDescent="0.25">
      <c r="L1191"/>
    </row>
    <row r="1192" spans="12:12" x14ac:dyDescent="0.25">
      <c r="L1192"/>
    </row>
    <row r="1193" spans="12:12" x14ac:dyDescent="0.25">
      <c r="L1193"/>
    </row>
    <row r="1194" spans="12:12" x14ac:dyDescent="0.25">
      <c r="L1194"/>
    </row>
    <row r="1195" spans="12:12" x14ac:dyDescent="0.25">
      <c r="L1195"/>
    </row>
    <row r="1196" spans="12:12" x14ac:dyDescent="0.25">
      <c r="L1196"/>
    </row>
    <row r="1197" spans="12:12" x14ac:dyDescent="0.25">
      <c r="L1197"/>
    </row>
    <row r="1198" spans="12:12" x14ac:dyDescent="0.25">
      <c r="L1198"/>
    </row>
    <row r="1199" spans="12:12" x14ac:dyDescent="0.25">
      <c r="L1199"/>
    </row>
    <row r="1200" spans="12:12" x14ac:dyDescent="0.25">
      <c r="L1200"/>
    </row>
    <row r="1201" spans="12:12" x14ac:dyDescent="0.25">
      <c r="L1201"/>
    </row>
    <row r="1202" spans="12:12" x14ac:dyDescent="0.25">
      <c r="L1202"/>
    </row>
    <row r="1203" spans="12:12" x14ac:dyDescent="0.25">
      <c r="L1203"/>
    </row>
    <row r="1204" spans="12:12" x14ac:dyDescent="0.25">
      <c r="L1204"/>
    </row>
    <row r="1205" spans="12:12" x14ac:dyDescent="0.25">
      <c r="L1205"/>
    </row>
    <row r="1206" spans="12:12" x14ac:dyDescent="0.25">
      <c r="L1206"/>
    </row>
    <row r="1207" spans="12:12" x14ac:dyDescent="0.25">
      <c r="L1207"/>
    </row>
    <row r="1208" spans="12:12" x14ac:dyDescent="0.25">
      <c r="L1208"/>
    </row>
    <row r="1209" spans="12:12" x14ac:dyDescent="0.25">
      <c r="L1209"/>
    </row>
    <row r="1210" spans="12:12" x14ac:dyDescent="0.25">
      <c r="L1210"/>
    </row>
    <row r="1211" spans="12:12" x14ac:dyDescent="0.25">
      <c r="L1211"/>
    </row>
    <row r="1212" spans="12:12" x14ac:dyDescent="0.25">
      <c r="L1212"/>
    </row>
    <row r="1213" spans="12:12" x14ac:dyDescent="0.25">
      <c r="L1213"/>
    </row>
    <row r="1214" spans="12:12" x14ac:dyDescent="0.25">
      <c r="L1214"/>
    </row>
    <row r="1215" spans="12:12" x14ac:dyDescent="0.25">
      <c r="L1215"/>
    </row>
    <row r="1216" spans="12:12" x14ac:dyDescent="0.25">
      <c r="L1216"/>
    </row>
    <row r="1217" spans="12:12" x14ac:dyDescent="0.25">
      <c r="L1217"/>
    </row>
    <row r="1218" spans="12:12" x14ac:dyDescent="0.25">
      <c r="L1218"/>
    </row>
    <row r="1219" spans="12:12" x14ac:dyDescent="0.25">
      <c r="L1219"/>
    </row>
    <row r="1220" spans="12:12" x14ac:dyDescent="0.25">
      <c r="L1220"/>
    </row>
    <row r="1221" spans="12:12" x14ac:dyDescent="0.25">
      <c r="L1221"/>
    </row>
    <row r="1222" spans="12:12" x14ac:dyDescent="0.25">
      <c r="L1222"/>
    </row>
    <row r="1223" spans="12:12" x14ac:dyDescent="0.25">
      <c r="L1223"/>
    </row>
    <row r="1224" spans="12:12" x14ac:dyDescent="0.25">
      <c r="L1224"/>
    </row>
    <row r="1225" spans="12:12" x14ac:dyDescent="0.25">
      <c r="L1225"/>
    </row>
    <row r="1226" spans="12:12" x14ac:dyDescent="0.25">
      <c r="L1226"/>
    </row>
    <row r="1227" spans="12:12" x14ac:dyDescent="0.25">
      <c r="L1227"/>
    </row>
    <row r="1228" spans="12:12" x14ac:dyDescent="0.25">
      <c r="L1228"/>
    </row>
    <row r="1229" spans="12:12" x14ac:dyDescent="0.25">
      <c r="L1229"/>
    </row>
    <row r="1230" spans="12:12" x14ac:dyDescent="0.25">
      <c r="L1230"/>
    </row>
    <row r="1231" spans="12:12" x14ac:dyDescent="0.25">
      <c r="L1231"/>
    </row>
    <row r="1232" spans="12:12" x14ac:dyDescent="0.25">
      <c r="L1232"/>
    </row>
    <row r="1233" spans="12:12" x14ac:dyDescent="0.25">
      <c r="L1233"/>
    </row>
    <row r="1234" spans="12:12" x14ac:dyDescent="0.25">
      <c r="L1234"/>
    </row>
    <row r="1235" spans="12:12" x14ac:dyDescent="0.25">
      <c r="L1235"/>
    </row>
    <row r="1236" spans="12:12" x14ac:dyDescent="0.25">
      <c r="L1236"/>
    </row>
    <row r="1237" spans="12:12" x14ac:dyDescent="0.25">
      <c r="L1237"/>
    </row>
    <row r="1238" spans="12:12" x14ac:dyDescent="0.25">
      <c r="L1238"/>
    </row>
    <row r="1239" spans="12:12" x14ac:dyDescent="0.25">
      <c r="L1239"/>
    </row>
    <row r="1240" spans="12:12" x14ac:dyDescent="0.25">
      <c r="L1240"/>
    </row>
    <row r="1241" spans="12:12" x14ac:dyDescent="0.25">
      <c r="L1241"/>
    </row>
    <row r="1242" spans="12:12" x14ac:dyDescent="0.25">
      <c r="L1242"/>
    </row>
    <row r="1243" spans="12:12" x14ac:dyDescent="0.25">
      <c r="L1243"/>
    </row>
    <row r="1244" spans="12:12" x14ac:dyDescent="0.25">
      <c r="L1244"/>
    </row>
    <row r="1245" spans="12:12" x14ac:dyDescent="0.25">
      <c r="L1245"/>
    </row>
    <row r="1246" spans="12:12" x14ac:dyDescent="0.25">
      <c r="L1246"/>
    </row>
    <row r="1247" spans="12:12" x14ac:dyDescent="0.25">
      <c r="L1247"/>
    </row>
    <row r="1248" spans="12:12" x14ac:dyDescent="0.25">
      <c r="L1248"/>
    </row>
    <row r="1249" spans="12:12" x14ac:dyDescent="0.25">
      <c r="L1249"/>
    </row>
    <row r="1250" spans="12:12" x14ac:dyDescent="0.25">
      <c r="L1250"/>
    </row>
    <row r="1251" spans="12:12" x14ac:dyDescent="0.25">
      <c r="L1251"/>
    </row>
    <row r="1252" spans="12:12" x14ac:dyDescent="0.25">
      <c r="L1252"/>
    </row>
    <row r="1253" spans="12:12" x14ac:dyDescent="0.25">
      <c r="L1253"/>
    </row>
    <row r="1254" spans="12:12" x14ac:dyDescent="0.25">
      <c r="L1254"/>
    </row>
    <row r="1255" spans="12:12" x14ac:dyDescent="0.25">
      <c r="L1255"/>
    </row>
    <row r="1256" spans="12:12" x14ac:dyDescent="0.25">
      <c r="L1256"/>
    </row>
    <row r="1257" spans="12:12" x14ac:dyDescent="0.25">
      <c r="L1257"/>
    </row>
    <row r="1258" spans="12:12" x14ac:dyDescent="0.25">
      <c r="L1258"/>
    </row>
    <row r="1259" spans="12:12" x14ac:dyDescent="0.25">
      <c r="L1259"/>
    </row>
    <row r="1260" spans="12:12" x14ac:dyDescent="0.25">
      <c r="L1260"/>
    </row>
    <row r="1261" spans="12:12" x14ac:dyDescent="0.25">
      <c r="L1261"/>
    </row>
    <row r="1262" spans="12:12" x14ac:dyDescent="0.25">
      <c r="L1262"/>
    </row>
    <row r="1263" spans="12:12" x14ac:dyDescent="0.25">
      <c r="L1263"/>
    </row>
    <row r="1264" spans="12:12" x14ac:dyDescent="0.25">
      <c r="L1264"/>
    </row>
    <row r="1265" spans="12:12" x14ac:dyDescent="0.25">
      <c r="L1265"/>
    </row>
    <row r="1266" spans="12:12" x14ac:dyDescent="0.25">
      <c r="L1266"/>
    </row>
    <row r="1267" spans="12:12" x14ac:dyDescent="0.25">
      <c r="L1267"/>
    </row>
    <row r="1268" spans="12:12" x14ac:dyDescent="0.25">
      <c r="L1268"/>
    </row>
    <row r="1269" spans="12:12" x14ac:dyDescent="0.25">
      <c r="L1269"/>
    </row>
    <row r="1270" spans="12:12" x14ac:dyDescent="0.25">
      <c r="L1270"/>
    </row>
    <row r="1271" spans="12:12" x14ac:dyDescent="0.25">
      <c r="L1271"/>
    </row>
    <row r="1272" spans="12:12" x14ac:dyDescent="0.25">
      <c r="L1272"/>
    </row>
    <row r="1273" spans="12:12" x14ac:dyDescent="0.25">
      <c r="L1273"/>
    </row>
    <row r="1274" spans="12:12" x14ac:dyDescent="0.25">
      <c r="L1274"/>
    </row>
    <row r="1275" spans="12:12" x14ac:dyDescent="0.25">
      <c r="L1275"/>
    </row>
    <row r="1276" spans="12:12" x14ac:dyDescent="0.25">
      <c r="L1276"/>
    </row>
    <row r="1277" spans="12:12" x14ac:dyDescent="0.25">
      <c r="L1277"/>
    </row>
    <row r="1278" spans="12:12" x14ac:dyDescent="0.25">
      <c r="L1278"/>
    </row>
    <row r="1279" spans="12:12" x14ac:dyDescent="0.25">
      <c r="L1279"/>
    </row>
    <row r="1280" spans="12:12" x14ac:dyDescent="0.25">
      <c r="L1280"/>
    </row>
    <row r="1281" spans="12:12" x14ac:dyDescent="0.25">
      <c r="L1281"/>
    </row>
    <row r="1282" spans="12:12" x14ac:dyDescent="0.25">
      <c r="L1282"/>
    </row>
    <row r="1283" spans="12:12" x14ac:dyDescent="0.25">
      <c r="L1283"/>
    </row>
    <row r="1284" spans="12:12" x14ac:dyDescent="0.25">
      <c r="L1284"/>
    </row>
    <row r="1285" spans="12:12" x14ac:dyDescent="0.25">
      <c r="L1285"/>
    </row>
    <row r="1286" spans="12:12" x14ac:dyDescent="0.25">
      <c r="L1286"/>
    </row>
    <row r="1287" spans="12:12" x14ac:dyDescent="0.25">
      <c r="L1287"/>
    </row>
    <row r="1288" spans="12:12" x14ac:dyDescent="0.25">
      <c r="L1288"/>
    </row>
    <row r="1289" spans="12:12" x14ac:dyDescent="0.25">
      <c r="L1289"/>
    </row>
    <row r="1290" spans="12:12" x14ac:dyDescent="0.25">
      <c r="L1290"/>
    </row>
    <row r="1291" spans="12:12" x14ac:dyDescent="0.25">
      <c r="L1291"/>
    </row>
    <row r="1292" spans="12:12" x14ac:dyDescent="0.25">
      <c r="L1292"/>
    </row>
    <row r="1293" spans="12:12" x14ac:dyDescent="0.25">
      <c r="L1293"/>
    </row>
    <row r="1294" spans="12:12" x14ac:dyDescent="0.25">
      <c r="L1294"/>
    </row>
    <row r="1295" spans="12:12" x14ac:dyDescent="0.25">
      <c r="L1295"/>
    </row>
    <row r="1296" spans="12:12" x14ac:dyDescent="0.25">
      <c r="L1296"/>
    </row>
    <row r="1297" spans="12:12" x14ac:dyDescent="0.25">
      <c r="L1297"/>
    </row>
    <row r="1298" spans="12:12" x14ac:dyDescent="0.25">
      <c r="L1298"/>
    </row>
    <row r="1299" spans="12:12" x14ac:dyDescent="0.25">
      <c r="L1299"/>
    </row>
    <row r="1300" spans="12:12" x14ac:dyDescent="0.25">
      <c r="L1300"/>
    </row>
    <row r="1301" spans="12:12" x14ac:dyDescent="0.25">
      <c r="L1301"/>
    </row>
    <row r="1302" spans="12:12" x14ac:dyDescent="0.25">
      <c r="L1302"/>
    </row>
    <row r="1303" spans="12:12" x14ac:dyDescent="0.25">
      <c r="L1303"/>
    </row>
    <row r="1304" spans="12:12" x14ac:dyDescent="0.25">
      <c r="L1304"/>
    </row>
    <row r="1305" spans="12:12" x14ac:dyDescent="0.25">
      <c r="L1305"/>
    </row>
    <row r="1306" spans="12:12" x14ac:dyDescent="0.25">
      <c r="L1306"/>
    </row>
    <row r="1307" spans="12:12" x14ac:dyDescent="0.25">
      <c r="L1307"/>
    </row>
    <row r="1308" spans="12:12" x14ac:dyDescent="0.25">
      <c r="L1308"/>
    </row>
    <row r="1309" spans="12:12" x14ac:dyDescent="0.25">
      <c r="L1309"/>
    </row>
    <row r="1310" spans="12:12" x14ac:dyDescent="0.25">
      <c r="L1310"/>
    </row>
    <row r="1311" spans="12:12" x14ac:dyDescent="0.25">
      <c r="L1311"/>
    </row>
    <row r="1312" spans="12:12" x14ac:dyDescent="0.25">
      <c r="L1312"/>
    </row>
    <row r="1313" spans="12:12" x14ac:dyDescent="0.25">
      <c r="L1313"/>
    </row>
    <row r="1314" spans="12:12" x14ac:dyDescent="0.25">
      <c r="L1314"/>
    </row>
    <row r="1315" spans="12:12" x14ac:dyDescent="0.25">
      <c r="L1315"/>
    </row>
    <row r="1316" spans="12:12" x14ac:dyDescent="0.25">
      <c r="L1316"/>
    </row>
    <row r="1317" spans="12:12" x14ac:dyDescent="0.25">
      <c r="L1317"/>
    </row>
    <row r="1318" spans="12:12" x14ac:dyDescent="0.25">
      <c r="L1318"/>
    </row>
    <row r="1319" spans="12:12" x14ac:dyDescent="0.25">
      <c r="L1319"/>
    </row>
    <row r="1320" spans="12:12" x14ac:dyDescent="0.25">
      <c r="L1320"/>
    </row>
    <row r="1321" spans="12:12" x14ac:dyDescent="0.25">
      <c r="L1321"/>
    </row>
    <row r="1322" spans="12:12" x14ac:dyDescent="0.25">
      <c r="L1322"/>
    </row>
    <row r="1323" spans="12:12" x14ac:dyDescent="0.25">
      <c r="L1323"/>
    </row>
    <row r="1324" spans="12:12" x14ac:dyDescent="0.25">
      <c r="L1324"/>
    </row>
    <row r="1325" spans="12:12" x14ac:dyDescent="0.25">
      <c r="L1325"/>
    </row>
    <row r="1326" spans="12:12" x14ac:dyDescent="0.25">
      <c r="L1326"/>
    </row>
    <row r="1327" spans="12:12" x14ac:dyDescent="0.25">
      <c r="L1327"/>
    </row>
    <row r="1328" spans="12:12" x14ac:dyDescent="0.25">
      <c r="L1328"/>
    </row>
    <row r="1329" spans="12:12" x14ac:dyDescent="0.25">
      <c r="L1329"/>
    </row>
    <row r="1330" spans="12:12" x14ac:dyDescent="0.25">
      <c r="L1330"/>
    </row>
    <row r="1331" spans="12:12" x14ac:dyDescent="0.25">
      <c r="L1331"/>
    </row>
    <row r="1332" spans="12:12" x14ac:dyDescent="0.25">
      <c r="L1332"/>
    </row>
    <row r="1333" spans="12:12" x14ac:dyDescent="0.25">
      <c r="L1333"/>
    </row>
    <row r="1334" spans="12:12" x14ac:dyDescent="0.25">
      <c r="L1334"/>
    </row>
    <row r="1335" spans="12:12" x14ac:dyDescent="0.25">
      <c r="L1335"/>
    </row>
    <row r="1336" spans="12:12" x14ac:dyDescent="0.25">
      <c r="L1336"/>
    </row>
    <row r="1337" spans="12:12" x14ac:dyDescent="0.25">
      <c r="L1337"/>
    </row>
    <row r="1338" spans="12:12" x14ac:dyDescent="0.25">
      <c r="L1338"/>
    </row>
    <row r="1339" spans="12:12" x14ac:dyDescent="0.25">
      <c r="L1339"/>
    </row>
    <row r="1340" spans="12:12" x14ac:dyDescent="0.25">
      <c r="L1340"/>
    </row>
    <row r="1341" spans="12:12" x14ac:dyDescent="0.25">
      <c r="L1341"/>
    </row>
    <row r="1342" spans="12:12" x14ac:dyDescent="0.25">
      <c r="L1342"/>
    </row>
    <row r="1343" spans="12:12" x14ac:dyDescent="0.25">
      <c r="L1343"/>
    </row>
    <row r="1344" spans="12:12" x14ac:dyDescent="0.25">
      <c r="L1344"/>
    </row>
    <row r="1345" spans="12:12" x14ac:dyDescent="0.25">
      <c r="L1345"/>
    </row>
    <row r="1346" spans="12:12" x14ac:dyDescent="0.25">
      <c r="L1346"/>
    </row>
    <row r="1347" spans="12:12" x14ac:dyDescent="0.25">
      <c r="L1347"/>
    </row>
    <row r="1348" spans="12:12" x14ac:dyDescent="0.25">
      <c r="L1348"/>
    </row>
    <row r="1349" spans="12:12" x14ac:dyDescent="0.25">
      <c r="L1349"/>
    </row>
    <row r="1350" spans="12:12" x14ac:dyDescent="0.25">
      <c r="L1350"/>
    </row>
    <row r="1351" spans="12:12" x14ac:dyDescent="0.25">
      <c r="L1351"/>
    </row>
    <row r="1352" spans="12:12" x14ac:dyDescent="0.25">
      <c r="L1352"/>
    </row>
    <row r="1353" spans="12:12" x14ac:dyDescent="0.25">
      <c r="L1353"/>
    </row>
    <row r="1354" spans="12:12" x14ac:dyDescent="0.25">
      <c r="L1354"/>
    </row>
    <row r="1355" spans="12:12" x14ac:dyDescent="0.25">
      <c r="L1355"/>
    </row>
    <row r="1356" spans="12:12" x14ac:dyDescent="0.25">
      <c r="L1356"/>
    </row>
    <row r="1357" spans="12:12" x14ac:dyDescent="0.25">
      <c r="L1357"/>
    </row>
    <row r="1358" spans="12:12" x14ac:dyDescent="0.25">
      <c r="L1358"/>
    </row>
    <row r="1359" spans="12:12" x14ac:dyDescent="0.25">
      <c r="L1359"/>
    </row>
    <row r="1360" spans="12:12" x14ac:dyDescent="0.25">
      <c r="L1360"/>
    </row>
    <row r="1361" spans="12:12" x14ac:dyDescent="0.25">
      <c r="L1361"/>
    </row>
    <row r="1362" spans="12:12" x14ac:dyDescent="0.25">
      <c r="L1362"/>
    </row>
    <row r="1363" spans="12:12" x14ac:dyDescent="0.25">
      <c r="L1363"/>
    </row>
    <row r="1364" spans="12:12" x14ac:dyDescent="0.25">
      <c r="L1364"/>
    </row>
    <row r="1365" spans="12:12" x14ac:dyDescent="0.25">
      <c r="L1365"/>
    </row>
    <row r="1366" spans="12:12" x14ac:dyDescent="0.25">
      <c r="L1366"/>
    </row>
    <row r="1367" spans="12:12" x14ac:dyDescent="0.25">
      <c r="L1367"/>
    </row>
    <row r="1368" spans="12:12" x14ac:dyDescent="0.25">
      <c r="L1368"/>
    </row>
    <row r="1369" spans="12:12" x14ac:dyDescent="0.25">
      <c r="L1369"/>
    </row>
    <row r="1370" spans="12:12" x14ac:dyDescent="0.25">
      <c r="L1370"/>
    </row>
    <row r="1371" spans="12:12" x14ac:dyDescent="0.25">
      <c r="L1371"/>
    </row>
    <row r="1372" spans="12:12" x14ac:dyDescent="0.25">
      <c r="L1372"/>
    </row>
    <row r="1373" spans="12:12" x14ac:dyDescent="0.25">
      <c r="L1373"/>
    </row>
    <row r="1374" spans="12:12" x14ac:dyDescent="0.25">
      <c r="L1374"/>
    </row>
    <row r="1375" spans="12:12" x14ac:dyDescent="0.25">
      <c r="L1375"/>
    </row>
    <row r="1376" spans="12:12" x14ac:dyDescent="0.25">
      <c r="L1376"/>
    </row>
    <row r="1377" spans="12:12" x14ac:dyDescent="0.25">
      <c r="L1377"/>
    </row>
    <row r="1378" spans="12:12" x14ac:dyDescent="0.25">
      <c r="L1378"/>
    </row>
    <row r="1379" spans="12:12" x14ac:dyDescent="0.25">
      <c r="L1379"/>
    </row>
    <row r="1380" spans="12:12" x14ac:dyDescent="0.25">
      <c r="L1380"/>
    </row>
    <row r="1381" spans="12:12" x14ac:dyDescent="0.25">
      <c r="L1381"/>
    </row>
    <row r="1382" spans="12:12" x14ac:dyDescent="0.25">
      <c r="L1382"/>
    </row>
    <row r="1383" spans="12:12" x14ac:dyDescent="0.25">
      <c r="L1383"/>
    </row>
    <row r="1384" spans="12:12" x14ac:dyDescent="0.25">
      <c r="L1384"/>
    </row>
    <row r="1385" spans="12:12" x14ac:dyDescent="0.25">
      <c r="L1385"/>
    </row>
    <row r="1386" spans="12:12" x14ac:dyDescent="0.25">
      <c r="L1386"/>
    </row>
    <row r="1387" spans="12:12" x14ac:dyDescent="0.25">
      <c r="L1387"/>
    </row>
    <row r="1388" spans="12:12" x14ac:dyDescent="0.25">
      <c r="L1388"/>
    </row>
    <row r="1389" spans="12:12" x14ac:dyDescent="0.25">
      <c r="L1389"/>
    </row>
    <row r="1390" spans="12:12" x14ac:dyDescent="0.25">
      <c r="L1390"/>
    </row>
    <row r="1391" spans="12:12" x14ac:dyDescent="0.25">
      <c r="L1391"/>
    </row>
    <row r="1392" spans="12:12" x14ac:dyDescent="0.25">
      <c r="L1392"/>
    </row>
    <row r="1393" spans="12:12" x14ac:dyDescent="0.25">
      <c r="L1393"/>
    </row>
    <row r="1394" spans="12:12" x14ac:dyDescent="0.25">
      <c r="L1394"/>
    </row>
    <row r="1395" spans="12:12" x14ac:dyDescent="0.25">
      <c r="L1395"/>
    </row>
    <row r="1396" spans="12:12" x14ac:dyDescent="0.25">
      <c r="L1396"/>
    </row>
    <row r="1397" spans="12:12" x14ac:dyDescent="0.25">
      <c r="L1397"/>
    </row>
    <row r="1398" spans="12:12" x14ac:dyDescent="0.25">
      <c r="L1398"/>
    </row>
    <row r="1399" spans="12:12" x14ac:dyDescent="0.25">
      <c r="L1399"/>
    </row>
    <row r="1400" spans="12:12" x14ac:dyDescent="0.25">
      <c r="L1400"/>
    </row>
    <row r="1401" spans="12:12" x14ac:dyDescent="0.25">
      <c r="L1401"/>
    </row>
    <row r="1402" spans="12:12" x14ac:dyDescent="0.25">
      <c r="L1402"/>
    </row>
    <row r="1403" spans="12:12" x14ac:dyDescent="0.25">
      <c r="L1403"/>
    </row>
    <row r="1404" spans="12:12" x14ac:dyDescent="0.25">
      <c r="L1404"/>
    </row>
    <row r="1405" spans="12:12" x14ac:dyDescent="0.25">
      <c r="L1405"/>
    </row>
    <row r="1406" spans="12:12" x14ac:dyDescent="0.25">
      <c r="L1406"/>
    </row>
    <row r="1407" spans="12:12" x14ac:dyDescent="0.25">
      <c r="L1407"/>
    </row>
    <row r="1408" spans="12:12" x14ac:dyDescent="0.25">
      <c r="L1408"/>
    </row>
    <row r="1409" spans="12:12" x14ac:dyDescent="0.25">
      <c r="L1409"/>
    </row>
    <row r="1410" spans="12:12" x14ac:dyDescent="0.25">
      <c r="L1410"/>
    </row>
    <row r="1411" spans="12:12" x14ac:dyDescent="0.25">
      <c r="L1411"/>
    </row>
    <row r="1412" spans="12:12" x14ac:dyDescent="0.25">
      <c r="L1412"/>
    </row>
    <row r="1413" spans="12:12" x14ac:dyDescent="0.25">
      <c r="L1413"/>
    </row>
    <row r="1414" spans="12:12" x14ac:dyDescent="0.25">
      <c r="L1414"/>
    </row>
    <row r="1415" spans="12:12" x14ac:dyDescent="0.25">
      <c r="L1415"/>
    </row>
    <row r="1416" spans="12:12" x14ac:dyDescent="0.25">
      <c r="L1416"/>
    </row>
    <row r="1417" spans="12:12" x14ac:dyDescent="0.25">
      <c r="L1417"/>
    </row>
    <row r="1418" spans="12:12" x14ac:dyDescent="0.25">
      <c r="L1418"/>
    </row>
    <row r="1419" spans="12:12" x14ac:dyDescent="0.25">
      <c r="L1419"/>
    </row>
    <row r="1420" spans="12:12" x14ac:dyDescent="0.25">
      <c r="L1420"/>
    </row>
    <row r="1421" spans="12:12" x14ac:dyDescent="0.25">
      <c r="L1421"/>
    </row>
    <row r="1422" spans="12:12" x14ac:dyDescent="0.25">
      <c r="L1422"/>
    </row>
    <row r="1423" spans="12:12" x14ac:dyDescent="0.25">
      <c r="L1423"/>
    </row>
    <row r="1424" spans="12:12" x14ac:dyDescent="0.25">
      <c r="L1424"/>
    </row>
    <row r="1425" spans="12:12" x14ac:dyDescent="0.25">
      <c r="L1425"/>
    </row>
    <row r="1426" spans="12:12" x14ac:dyDescent="0.25">
      <c r="L1426"/>
    </row>
    <row r="1427" spans="12:12" x14ac:dyDescent="0.25">
      <c r="L1427"/>
    </row>
    <row r="1428" spans="12:12" x14ac:dyDescent="0.25">
      <c r="L1428"/>
    </row>
    <row r="1429" spans="12:12" x14ac:dyDescent="0.25">
      <c r="L1429"/>
    </row>
    <row r="1430" spans="12:12" x14ac:dyDescent="0.25">
      <c r="L1430"/>
    </row>
    <row r="1431" spans="12:12" x14ac:dyDescent="0.25">
      <c r="L1431"/>
    </row>
    <row r="1432" spans="12:12" x14ac:dyDescent="0.25">
      <c r="L1432"/>
    </row>
    <row r="1433" spans="12:12" x14ac:dyDescent="0.25">
      <c r="L1433"/>
    </row>
    <row r="1434" spans="12:12" x14ac:dyDescent="0.25">
      <c r="L1434"/>
    </row>
    <row r="1435" spans="12:12" x14ac:dyDescent="0.25">
      <c r="L1435"/>
    </row>
    <row r="1436" spans="12:12" x14ac:dyDescent="0.25">
      <c r="L1436"/>
    </row>
    <row r="1437" spans="12:12" x14ac:dyDescent="0.25">
      <c r="L1437"/>
    </row>
    <row r="1438" spans="12:12" x14ac:dyDescent="0.25">
      <c r="L1438"/>
    </row>
    <row r="1439" spans="12:12" x14ac:dyDescent="0.25">
      <c r="L1439"/>
    </row>
    <row r="1440" spans="12:12" x14ac:dyDescent="0.25">
      <c r="L1440"/>
    </row>
    <row r="1441" spans="12:12" x14ac:dyDescent="0.25">
      <c r="L1441"/>
    </row>
    <row r="1442" spans="12:12" x14ac:dyDescent="0.25">
      <c r="L1442"/>
    </row>
    <row r="1443" spans="12:12" x14ac:dyDescent="0.25">
      <c r="L1443"/>
    </row>
    <row r="1444" spans="12:12" x14ac:dyDescent="0.25">
      <c r="L1444"/>
    </row>
    <row r="1445" spans="12:12" x14ac:dyDescent="0.25">
      <c r="L1445"/>
    </row>
    <row r="1446" spans="12:12" x14ac:dyDescent="0.25">
      <c r="L1446"/>
    </row>
    <row r="1447" spans="12:12" x14ac:dyDescent="0.25">
      <c r="L1447"/>
    </row>
    <row r="1448" spans="12:12" x14ac:dyDescent="0.25">
      <c r="L1448"/>
    </row>
    <row r="1449" spans="12:12" x14ac:dyDescent="0.25">
      <c r="L1449"/>
    </row>
    <row r="1450" spans="12:12" x14ac:dyDescent="0.25">
      <c r="L1450"/>
    </row>
    <row r="1451" spans="12:12" x14ac:dyDescent="0.25">
      <c r="L1451"/>
    </row>
    <row r="1452" spans="12:12" x14ac:dyDescent="0.25">
      <c r="L1452"/>
    </row>
    <row r="1453" spans="12:12" x14ac:dyDescent="0.25">
      <c r="L1453"/>
    </row>
    <row r="1454" spans="12:12" x14ac:dyDescent="0.25">
      <c r="L1454"/>
    </row>
    <row r="1455" spans="12:12" x14ac:dyDescent="0.25">
      <c r="L1455"/>
    </row>
    <row r="1456" spans="12:12" x14ac:dyDescent="0.25">
      <c r="L1456"/>
    </row>
    <row r="1457" spans="12:12" x14ac:dyDescent="0.25">
      <c r="L1457"/>
    </row>
    <row r="1458" spans="12:12" x14ac:dyDescent="0.25">
      <c r="L1458"/>
    </row>
    <row r="1459" spans="12:12" x14ac:dyDescent="0.25">
      <c r="L1459"/>
    </row>
    <row r="1460" spans="12:12" x14ac:dyDescent="0.25">
      <c r="L1460"/>
    </row>
    <row r="1461" spans="12:12" x14ac:dyDescent="0.25">
      <c r="L1461"/>
    </row>
    <row r="1462" spans="12:12" x14ac:dyDescent="0.25">
      <c r="L1462"/>
    </row>
    <row r="1463" spans="12:12" x14ac:dyDescent="0.25">
      <c r="L1463"/>
    </row>
    <row r="1464" spans="12:12" x14ac:dyDescent="0.25">
      <c r="L1464"/>
    </row>
    <row r="1465" spans="12:12" x14ac:dyDescent="0.25">
      <c r="L1465"/>
    </row>
    <row r="1466" spans="12:12" x14ac:dyDescent="0.25">
      <c r="L1466"/>
    </row>
    <row r="1467" spans="12:12" x14ac:dyDescent="0.25">
      <c r="L1467"/>
    </row>
    <row r="1468" spans="12:12" x14ac:dyDescent="0.25">
      <c r="L1468"/>
    </row>
    <row r="1469" spans="12:12" x14ac:dyDescent="0.25">
      <c r="L1469"/>
    </row>
    <row r="1470" spans="12:12" x14ac:dyDescent="0.25">
      <c r="L1470"/>
    </row>
    <row r="1471" spans="12:12" x14ac:dyDescent="0.25">
      <c r="L1471"/>
    </row>
    <row r="1472" spans="12:12" x14ac:dyDescent="0.25">
      <c r="L1472"/>
    </row>
    <row r="1473" spans="12:12" x14ac:dyDescent="0.25">
      <c r="L1473"/>
    </row>
    <row r="1474" spans="12:12" x14ac:dyDescent="0.25">
      <c r="L1474"/>
    </row>
    <row r="1475" spans="12:12" x14ac:dyDescent="0.25">
      <c r="L1475"/>
    </row>
    <row r="1476" spans="12:12" x14ac:dyDescent="0.25">
      <c r="L1476"/>
    </row>
    <row r="1477" spans="12:12" x14ac:dyDescent="0.25">
      <c r="L1477"/>
    </row>
    <row r="1478" spans="12:12" x14ac:dyDescent="0.25">
      <c r="L1478"/>
    </row>
    <row r="1479" spans="12:12" x14ac:dyDescent="0.25">
      <c r="L1479"/>
    </row>
    <row r="1480" spans="12:12" x14ac:dyDescent="0.25">
      <c r="L1480"/>
    </row>
    <row r="1481" spans="12:12" x14ac:dyDescent="0.25">
      <c r="L1481"/>
    </row>
    <row r="1482" spans="12:12" x14ac:dyDescent="0.25">
      <c r="L1482"/>
    </row>
    <row r="1483" spans="12:12" x14ac:dyDescent="0.25">
      <c r="L1483"/>
    </row>
    <row r="1484" spans="12:12" x14ac:dyDescent="0.25">
      <c r="L1484"/>
    </row>
    <row r="1485" spans="12:12" x14ac:dyDescent="0.25">
      <c r="L1485"/>
    </row>
    <row r="1486" spans="12:12" x14ac:dyDescent="0.25">
      <c r="L1486"/>
    </row>
    <row r="1487" spans="12:12" x14ac:dyDescent="0.25">
      <c r="L1487"/>
    </row>
    <row r="1488" spans="12:12" x14ac:dyDescent="0.25">
      <c r="L1488"/>
    </row>
    <row r="1489" spans="12:12" x14ac:dyDescent="0.25">
      <c r="L1489"/>
    </row>
    <row r="1490" spans="12:12" x14ac:dyDescent="0.25">
      <c r="L1490"/>
    </row>
    <row r="1491" spans="12:12" x14ac:dyDescent="0.25">
      <c r="L1491"/>
    </row>
    <row r="1492" spans="12:12" x14ac:dyDescent="0.25">
      <c r="L1492"/>
    </row>
    <row r="1493" spans="12:12" x14ac:dyDescent="0.25">
      <c r="L1493"/>
    </row>
    <row r="1494" spans="12:12" x14ac:dyDescent="0.25">
      <c r="L1494"/>
    </row>
    <row r="1495" spans="12:12" x14ac:dyDescent="0.25">
      <c r="L1495"/>
    </row>
    <row r="1496" spans="12:12" x14ac:dyDescent="0.25">
      <c r="L1496"/>
    </row>
    <row r="1497" spans="12:12" x14ac:dyDescent="0.25">
      <c r="L1497"/>
    </row>
    <row r="1498" spans="12:12" x14ac:dyDescent="0.25">
      <c r="L1498"/>
    </row>
    <row r="1499" spans="12:12" x14ac:dyDescent="0.25">
      <c r="L1499"/>
    </row>
    <row r="1500" spans="12:12" x14ac:dyDescent="0.25">
      <c r="L1500"/>
    </row>
    <row r="1501" spans="12:12" x14ac:dyDescent="0.25">
      <c r="L1501"/>
    </row>
    <row r="1502" spans="12:12" x14ac:dyDescent="0.25">
      <c r="L1502"/>
    </row>
    <row r="1503" spans="12:12" x14ac:dyDescent="0.25">
      <c r="L1503"/>
    </row>
    <row r="1504" spans="12:12" x14ac:dyDescent="0.25">
      <c r="L1504"/>
    </row>
    <row r="1505" spans="12:12" x14ac:dyDescent="0.25">
      <c r="L1505"/>
    </row>
    <row r="1506" spans="12:12" x14ac:dyDescent="0.25">
      <c r="L1506"/>
    </row>
    <row r="1507" spans="12:12" x14ac:dyDescent="0.25">
      <c r="L1507"/>
    </row>
    <row r="1508" spans="12:12" x14ac:dyDescent="0.25">
      <c r="L1508"/>
    </row>
    <row r="1509" spans="12:12" x14ac:dyDescent="0.25">
      <c r="L1509"/>
    </row>
    <row r="1510" spans="12:12" x14ac:dyDescent="0.25">
      <c r="L1510"/>
    </row>
    <row r="1511" spans="12:12" x14ac:dyDescent="0.25">
      <c r="L1511"/>
    </row>
    <row r="1512" spans="12:12" x14ac:dyDescent="0.25">
      <c r="L1512"/>
    </row>
    <row r="1513" spans="12:12" x14ac:dyDescent="0.25">
      <c r="L1513"/>
    </row>
    <row r="1514" spans="12:12" x14ac:dyDescent="0.25">
      <c r="L1514"/>
    </row>
    <row r="1515" spans="12:12" x14ac:dyDescent="0.25">
      <c r="L1515"/>
    </row>
    <row r="1516" spans="12:12" x14ac:dyDescent="0.25">
      <c r="L1516"/>
    </row>
    <row r="1517" spans="12:12" x14ac:dyDescent="0.25">
      <c r="L1517"/>
    </row>
    <row r="1518" spans="12:12" x14ac:dyDescent="0.25">
      <c r="L1518"/>
    </row>
    <row r="1519" spans="12:12" x14ac:dyDescent="0.25">
      <c r="L1519"/>
    </row>
    <row r="1520" spans="12:12" x14ac:dyDescent="0.25">
      <c r="L1520"/>
    </row>
    <row r="1521" spans="12:12" x14ac:dyDescent="0.25">
      <c r="L1521"/>
    </row>
    <row r="1522" spans="12:12" x14ac:dyDescent="0.25">
      <c r="L1522"/>
    </row>
    <row r="1523" spans="12:12" x14ac:dyDescent="0.25">
      <c r="L1523"/>
    </row>
    <row r="1524" spans="12:12" x14ac:dyDescent="0.25">
      <c r="L1524"/>
    </row>
    <row r="1525" spans="12:12" x14ac:dyDescent="0.25">
      <c r="L1525"/>
    </row>
    <row r="1526" spans="12:12" x14ac:dyDescent="0.25">
      <c r="L1526"/>
    </row>
    <row r="1527" spans="12:12" x14ac:dyDescent="0.25">
      <c r="L1527"/>
    </row>
    <row r="1528" spans="12:12" x14ac:dyDescent="0.25">
      <c r="L1528"/>
    </row>
    <row r="1529" spans="12:12" x14ac:dyDescent="0.25">
      <c r="L1529"/>
    </row>
    <row r="1530" spans="12:12" x14ac:dyDescent="0.25">
      <c r="L1530"/>
    </row>
    <row r="1531" spans="12:12" x14ac:dyDescent="0.25">
      <c r="L1531"/>
    </row>
    <row r="1532" spans="12:12" x14ac:dyDescent="0.25">
      <c r="L1532"/>
    </row>
    <row r="1533" spans="12:12" x14ac:dyDescent="0.25">
      <c r="L1533"/>
    </row>
    <row r="1534" spans="12:12" x14ac:dyDescent="0.25">
      <c r="L1534"/>
    </row>
    <row r="1535" spans="12:12" x14ac:dyDescent="0.25">
      <c r="L1535"/>
    </row>
    <row r="1536" spans="12:12" x14ac:dyDescent="0.25">
      <c r="L1536"/>
    </row>
    <row r="1537" spans="12:12" x14ac:dyDescent="0.25">
      <c r="L1537"/>
    </row>
    <row r="1538" spans="12:12" x14ac:dyDescent="0.25">
      <c r="L1538"/>
    </row>
    <row r="1539" spans="12:12" x14ac:dyDescent="0.25">
      <c r="L1539"/>
    </row>
    <row r="1540" spans="12:12" x14ac:dyDescent="0.25">
      <c r="L1540"/>
    </row>
    <row r="1541" spans="12:12" x14ac:dyDescent="0.25">
      <c r="L1541"/>
    </row>
    <row r="1542" spans="12:12" x14ac:dyDescent="0.25">
      <c r="L1542"/>
    </row>
    <row r="1543" spans="12:12" x14ac:dyDescent="0.25">
      <c r="L1543"/>
    </row>
    <row r="1544" spans="12:12" x14ac:dyDescent="0.25">
      <c r="L1544"/>
    </row>
    <row r="1545" spans="12:12" x14ac:dyDescent="0.25">
      <c r="L1545"/>
    </row>
    <row r="1546" spans="12:12" x14ac:dyDescent="0.25">
      <c r="L1546"/>
    </row>
    <row r="1547" spans="12:12" x14ac:dyDescent="0.25">
      <c r="L1547"/>
    </row>
    <row r="1548" spans="12:12" x14ac:dyDescent="0.25">
      <c r="L1548"/>
    </row>
    <row r="1549" spans="12:12" x14ac:dyDescent="0.25">
      <c r="L1549"/>
    </row>
    <row r="1550" spans="12:12" x14ac:dyDescent="0.25">
      <c r="L1550"/>
    </row>
    <row r="1551" spans="12:12" x14ac:dyDescent="0.25">
      <c r="L1551"/>
    </row>
    <row r="1552" spans="12:12" x14ac:dyDescent="0.25">
      <c r="L1552"/>
    </row>
    <row r="1553" spans="12:12" x14ac:dyDescent="0.25">
      <c r="L1553"/>
    </row>
    <row r="1554" spans="12:12" x14ac:dyDescent="0.25">
      <c r="L1554"/>
    </row>
    <row r="1555" spans="12:12" x14ac:dyDescent="0.25">
      <c r="L1555"/>
    </row>
    <row r="1556" spans="12:12" x14ac:dyDescent="0.25">
      <c r="L1556"/>
    </row>
    <row r="1557" spans="12:12" x14ac:dyDescent="0.25">
      <c r="L1557"/>
    </row>
    <row r="1558" spans="12:12" x14ac:dyDescent="0.25">
      <c r="L1558"/>
    </row>
    <row r="1559" spans="12:12" x14ac:dyDescent="0.25">
      <c r="L1559"/>
    </row>
    <row r="1560" spans="12:12" x14ac:dyDescent="0.25">
      <c r="L1560"/>
    </row>
    <row r="1561" spans="12:12" x14ac:dyDescent="0.25">
      <c r="L1561"/>
    </row>
    <row r="1562" spans="12:12" x14ac:dyDescent="0.25">
      <c r="L1562"/>
    </row>
    <row r="1563" spans="12:12" x14ac:dyDescent="0.25">
      <c r="L1563"/>
    </row>
    <row r="1564" spans="12:12" x14ac:dyDescent="0.25">
      <c r="L1564"/>
    </row>
    <row r="1565" spans="12:12" x14ac:dyDescent="0.25">
      <c r="L1565"/>
    </row>
    <row r="1566" spans="12:12" x14ac:dyDescent="0.25">
      <c r="L1566"/>
    </row>
    <row r="1567" spans="12:12" x14ac:dyDescent="0.25">
      <c r="L1567"/>
    </row>
    <row r="1568" spans="12:12" x14ac:dyDescent="0.25">
      <c r="L1568"/>
    </row>
    <row r="1569" spans="12:12" x14ac:dyDescent="0.25">
      <c r="L1569"/>
    </row>
    <row r="1570" spans="12:12" x14ac:dyDescent="0.25">
      <c r="L1570"/>
    </row>
    <row r="1571" spans="12:12" x14ac:dyDescent="0.25">
      <c r="L1571"/>
    </row>
    <row r="1572" spans="12:12" x14ac:dyDescent="0.25">
      <c r="L1572"/>
    </row>
    <row r="1573" spans="12:12" x14ac:dyDescent="0.25">
      <c r="L1573"/>
    </row>
    <row r="1574" spans="12:12" x14ac:dyDescent="0.25">
      <c r="L1574"/>
    </row>
    <row r="1575" spans="12:12" x14ac:dyDescent="0.25">
      <c r="L1575"/>
    </row>
    <row r="1576" spans="12:12" x14ac:dyDescent="0.25">
      <c r="L1576"/>
    </row>
    <row r="1577" spans="12:12" x14ac:dyDescent="0.25">
      <c r="L1577"/>
    </row>
    <row r="1578" spans="12:12" x14ac:dyDescent="0.25">
      <c r="L1578"/>
    </row>
    <row r="1579" spans="12:12" x14ac:dyDescent="0.25">
      <c r="L1579"/>
    </row>
    <row r="1580" spans="12:12" x14ac:dyDescent="0.25">
      <c r="L1580"/>
    </row>
    <row r="1581" spans="12:12" x14ac:dyDescent="0.25">
      <c r="L1581"/>
    </row>
    <row r="1582" spans="12:12" x14ac:dyDescent="0.25">
      <c r="L1582"/>
    </row>
    <row r="1583" spans="12:12" x14ac:dyDescent="0.25">
      <c r="L1583"/>
    </row>
    <row r="1584" spans="12:12" x14ac:dyDescent="0.25">
      <c r="L1584"/>
    </row>
    <row r="1585" spans="12:12" x14ac:dyDescent="0.25">
      <c r="L1585"/>
    </row>
    <row r="1586" spans="12:12" x14ac:dyDescent="0.25">
      <c r="L1586"/>
    </row>
    <row r="1587" spans="12:12" x14ac:dyDescent="0.25">
      <c r="L1587"/>
    </row>
    <row r="1588" spans="12:12" x14ac:dyDescent="0.25">
      <c r="L1588"/>
    </row>
    <row r="1589" spans="12:12" x14ac:dyDescent="0.25">
      <c r="L1589"/>
    </row>
    <row r="1590" spans="12:12" x14ac:dyDescent="0.25">
      <c r="L1590"/>
    </row>
    <row r="1591" spans="12:12" x14ac:dyDescent="0.25">
      <c r="L1591"/>
    </row>
    <row r="1592" spans="12:12" x14ac:dyDescent="0.25">
      <c r="L1592"/>
    </row>
    <row r="1593" spans="12:12" x14ac:dyDescent="0.25">
      <c r="L1593"/>
    </row>
    <row r="1594" spans="12:12" x14ac:dyDescent="0.25">
      <c r="L1594"/>
    </row>
    <row r="1595" spans="12:12" x14ac:dyDescent="0.25">
      <c r="L1595"/>
    </row>
    <row r="1596" spans="12:12" x14ac:dyDescent="0.25">
      <c r="L1596"/>
    </row>
    <row r="1597" spans="12:12" x14ac:dyDescent="0.25">
      <c r="L1597"/>
    </row>
    <row r="1598" spans="12:12" x14ac:dyDescent="0.25">
      <c r="L1598"/>
    </row>
    <row r="1599" spans="12:12" x14ac:dyDescent="0.25">
      <c r="L1599"/>
    </row>
    <row r="1600" spans="12:12" x14ac:dyDescent="0.25">
      <c r="L1600"/>
    </row>
    <row r="1601" spans="12:12" x14ac:dyDescent="0.25">
      <c r="L1601"/>
    </row>
    <row r="1602" spans="12:12" x14ac:dyDescent="0.25">
      <c r="L1602"/>
    </row>
    <row r="1603" spans="12:12" x14ac:dyDescent="0.25">
      <c r="L1603"/>
    </row>
    <row r="1604" spans="12:12" x14ac:dyDescent="0.25">
      <c r="L1604"/>
    </row>
    <row r="1605" spans="12:12" x14ac:dyDescent="0.25">
      <c r="L1605"/>
    </row>
    <row r="1606" spans="12:12" x14ac:dyDescent="0.25">
      <c r="L1606"/>
    </row>
    <row r="1607" spans="12:12" x14ac:dyDescent="0.25">
      <c r="L1607"/>
    </row>
    <row r="1608" spans="12:12" x14ac:dyDescent="0.25">
      <c r="L1608"/>
    </row>
    <row r="1609" spans="12:12" x14ac:dyDescent="0.25">
      <c r="L1609"/>
    </row>
    <row r="1610" spans="12:12" x14ac:dyDescent="0.25">
      <c r="L1610"/>
    </row>
    <row r="1611" spans="12:12" x14ac:dyDescent="0.25">
      <c r="L1611"/>
    </row>
    <row r="1612" spans="12:12" x14ac:dyDescent="0.25">
      <c r="L1612"/>
    </row>
    <row r="1613" spans="12:12" x14ac:dyDescent="0.25">
      <c r="L1613"/>
    </row>
    <row r="1614" spans="12:12" x14ac:dyDescent="0.25">
      <c r="L1614"/>
    </row>
    <row r="1615" spans="12:12" x14ac:dyDescent="0.25">
      <c r="L1615"/>
    </row>
    <row r="1616" spans="12:12" x14ac:dyDescent="0.25">
      <c r="L1616"/>
    </row>
    <row r="1617" spans="12:12" x14ac:dyDescent="0.25">
      <c r="L1617"/>
    </row>
    <row r="1618" spans="12:12" x14ac:dyDescent="0.25">
      <c r="L1618"/>
    </row>
    <row r="1619" spans="12:12" x14ac:dyDescent="0.25">
      <c r="L1619"/>
    </row>
    <row r="1620" spans="12:12" x14ac:dyDescent="0.25">
      <c r="L1620"/>
    </row>
    <row r="1621" spans="12:12" x14ac:dyDescent="0.25">
      <c r="L1621"/>
    </row>
    <row r="1622" spans="12:12" x14ac:dyDescent="0.25">
      <c r="L1622"/>
    </row>
    <row r="1623" spans="12:12" x14ac:dyDescent="0.25">
      <c r="L1623"/>
    </row>
    <row r="1624" spans="12:12" x14ac:dyDescent="0.25">
      <c r="L1624"/>
    </row>
    <row r="1625" spans="12:12" x14ac:dyDescent="0.25">
      <c r="L1625"/>
    </row>
    <row r="1626" spans="12:12" x14ac:dyDescent="0.25">
      <c r="L1626"/>
    </row>
    <row r="1627" spans="12:12" x14ac:dyDescent="0.25">
      <c r="L1627"/>
    </row>
    <row r="1628" spans="12:12" x14ac:dyDescent="0.25">
      <c r="L1628"/>
    </row>
    <row r="1629" spans="12:12" x14ac:dyDescent="0.25">
      <c r="L1629"/>
    </row>
    <row r="1630" spans="12:12" x14ac:dyDescent="0.25">
      <c r="L1630"/>
    </row>
    <row r="1631" spans="12:12" x14ac:dyDescent="0.25">
      <c r="L1631"/>
    </row>
    <row r="1632" spans="12:12" x14ac:dyDescent="0.25">
      <c r="L1632"/>
    </row>
    <row r="1633" spans="12:12" x14ac:dyDescent="0.25">
      <c r="L1633"/>
    </row>
    <row r="1634" spans="12:12" x14ac:dyDescent="0.25">
      <c r="L1634"/>
    </row>
    <row r="1635" spans="12:12" x14ac:dyDescent="0.25">
      <c r="L1635"/>
    </row>
    <row r="1636" spans="12:12" x14ac:dyDescent="0.25">
      <c r="L1636"/>
    </row>
    <row r="1637" spans="12:12" x14ac:dyDescent="0.25">
      <c r="L1637"/>
    </row>
    <row r="1638" spans="12:12" x14ac:dyDescent="0.25">
      <c r="L1638"/>
    </row>
    <row r="1639" spans="12:12" x14ac:dyDescent="0.25">
      <c r="L1639"/>
    </row>
    <row r="1640" spans="12:12" x14ac:dyDescent="0.25">
      <c r="L1640"/>
    </row>
    <row r="1641" spans="12:12" x14ac:dyDescent="0.25">
      <c r="L1641"/>
    </row>
    <row r="1642" spans="12:12" x14ac:dyDescent="0.25">
      <c r="L1642"/>
    </row>
    <row r="1643" spans="12:12" x14ac:dyDescent="0.25">
      <c r="L1643"/>
    </row>
    <row r="1644" spans="12:12" x14ac:dyDescent="0.25">
      <c r="L1644"/>
    </row>
    <row r="1645" spans="12:12" x14ac:dyDescent="0.25">
      <c r="L1645"/>
    </row>
    <row r="1646" spans="12:12" x14ac:dyDescent="0.25">
      <c r="L1646"/>
    </row>
    <row r="1647" spans="12:12" x14ac:dyDescent="0.25">
      <c r="L1647"/>
    </row>
    <row r="1648" spans="12:12" x14ac:dyDescent="0.25">
      <c r="L1648"/>
    </row>
    <row r="1649" spans="12:12" x14ac:dyDescent="0.25">
      <c r="L1649"/>
    </row>
    <row r="1650" spans="12:12" x14ac:dyDescent="0.25">
      <c r="L1650"/>
    </row>
    <row r="1651" spans="12:12" x14ac:dyDescent="0.25">
      <c r="L1651"/>
    </row>
    <row r="1652" spans="12:12" x14ac:dyDescent="0.25">
      <c r="L1652"/>
    </row>
    <row r="1653" spans="12:12" x14ac:dyDescent="0.25">
      <c r="L1653"/>
    </row>
    <row r="1654" spans="12:12" x14ac:dyDescent="0.25">
      <c r="L1654"/>
    </row>
    <row r="1655" spans="12:12" x14ac:dyDescent="0.25">
      <c r="L1655"/>
    </row>
    <row r="1656" spans="12:12" x14ac:dyDescent="0.25">
      <c r="L1656"/>
    </row>
    <row r="1657" spans="12:12" x14ac:dyDescent="0.25">
      <c r="L1657"/>
    </row>
    <row r="1658" spans="12:12" x14ac:dyDescent="0.25">
      <c r="L1658"/>
    </row>
    <row r="1659" spans="12:12" x14ac:dyDescent="0.25">
      <c r="L1659"/>
    </row>
    <row r="1660" spans="12:12" x14ac:dyDescent="0.25">
      <c r="L1660"/>
    </row>
    <row r="1661" spans="12:12" x14ac:dyDescent="0.25">
      <c r="L1661"/>
    </row>
    <row r="1662" spans="12:12" x14ac:dyDescent="0.25">
      <c r="L1662"/>
    </row>
    <row r="1663" spans="12:12" x14ac:dyDescent="0.25">
      <c r="L1663"/>
    </row>
    <row r="1664" spans="12:12" x14ac:dyDescent="0.25">
      <c r="L1664"/>
    </row>
    <row r="1665" spans="12:12" x14ac:dyDescent="0.25">
      <c r="L1665"/>
    </row>
    <row r="1666" spans="12:12" x14ac:dyDescent="0.25">
      <c r="L1666"/>
    </row>
    <row r="1667" spans="12:12" x14ac:dyDescent="0.25">
      <c r="L1667"/>
    </row>
    <row r="1668" spans="12:12" x14ac:dyDescent="0.25">
      <c r="L1668"/>
    </row>
    <row r="1669" spans="12:12" x14ac:dyDescent="0.25">
      <c r="L1669"/>
    </row>
    <row r="1670" spans="12:12" x14ac:dyDescent="0.25">
      <c r="L1670"/>
    </row>
    <row r="1671" spans="12:12" x14ac:dyDescent="0.25">
      <c r="L1671"/>
    </row>
    <row r="1672" spans="12:12" x14ac:dyDescent="0.25">
      <c r="L1672"/>
    </row>
    <row r="1673" spans="12:12" x14ac:dyDescent="0.25">
      <c r="L1673"/>
    </row>
    <row r="1674" spans="12:12" x14ac:dyDescent="0.25">
      <c r="L1674"/>
    </row>
    <row r="1675" spans="12:12" x14ac:dyDescent="0.25">
      <c r="L1675"/>
    </row>
    <row r="1676" spans="12:12" x14ac:dyDescent="0.25">
      <c r="L1676"/>
    </row>
    <row r="1677" spans="12:12" x14ac:dyDescent="0.25">
      <c r="L1677"/>
    </row>
    <row r="1678" spans="12:12" x14ac:dyDescent="0.25">
      <c r="L1678"/>
    </row>
    <row r="1679" spans="12:12" x14ac:dyDescent="0.25">
      <c r="L1679"/>
    </row>
    <row r="1680" spans="12:12" x14ac:dyDescent="0.25">
      <c r="L1680"/>
    </row>
    <row r="1681" spans="12:12" x14ac:dyDescent="0.25">
      <c r="L1681"/>
    </row>
    <row r="1682" spans="12:12" x14ac:dyDescent="0.25">
      <c r="L1682"/>
    </row>
    <row r="1683" spans="12:12" x14ac:dyDescent="0.25">
      <c r="L1683"/>
    </row>
    <row r="1684" spans="12:12" x14ac:dyDescent="0.25">
      <c r="L1684"/>
    </row>
    <row r="1685" spans="12:12" x14ac:dyDescent="0.25">
      <c r="L1685"/>
    </row>
    <row r="1686" spans="12:12" x14ac:dyDescent="0.25">
      <c r="L1686"/>
    </row>
    <row r="1687" spans="12:12" x14ac:dyDescent="0.25">
      <c r="L1687"/>
    </row>
    <row r="1688" spans="12:12" x14ac:dyDescent="0.25">
      <c r="L1688"/>
    </row>
    <row r="1689" spans="12:12" x14ac:dyDescent="0.25">
      <c r="L1689"/>
    </row>
    <row r="1690" spans="12:12" x14ac:dyDescent="0.25">
      <c r="L1690"/>
    </row>
    <row r="1691" spans="12:12" x14ac:dyDescent="0.25">
      <c r="L1691"/>
    </row>
    <row r="1692" spans="12:12" x14ac:dyDescent="0.25">
      <c r="L1692"/>
    </row>
    <row r="1693" spans="12:12" x14ac:dyDescent="0.25">
      <c r="L1693"/>
    </row>
    <row r="1694" spans="12:12" x14ac:dyDescent="0.25">
      <c r="L1694"/>
    </row>
    <row r="1695" spans="12:12" x14ac:dyDescent="0.25">
      <c r="L1695"/>
    </row>
    <row r="1696" spans="12:12" x14ac:dyDescent="0.25">
      <c r="L1696"/>
    </row>
    <row r="1697" spans="12:12" x14ac:dyDescent="0.25">
      <c r="L1697"/>
    </row>
    <row r="1698" spans="12:12" x14ac:dyDescent="0.25">
      <c r="L1698"/>
    </row>
    <row r="1699" spans="12:12" x14ac:dyDescent="0.25">
      <c r="L1699"/>
    </row>
    <row r="1700" spans="12:12" x14ac:dyDescent="0.25">
      <c r="L1700"/>
    </row>
    <row r="1701" spans="12:12" x14ac:dyDescent="0.25">
      <c r="L1701"/>
    </row>
    <row r="1702" spans="12:12" x14ac:dyDescent="0.25">
      <c r="L1702"/>
    </row>
    <row r="1703" spans="12:12" x14ac:dyDescent="0.25">
      <c r="L1703"/>
    </row>
    <row r="1704" spans="12:12" x14ac:dyDescent="0.25">
      <c r="L1704"/>
    </row>
    <row r="1705" spans="12:12" x14ac:dyDescent="0.25">
      <c r="L1705"/>
    </row>
    <row r="1706" spans="12:12" x14ac:dyDescent="0.25">
      <c r="L1706"/>
    </row>
    <row r="1707" spans="12:12" x14ac:dyDescent="0.25">
      <c r="L1707"/>
    </row>
    <row r="1708" spans="12:12" x14ac:dyDescent="0.25">
      <c r="L1708"/>
    </row>
    <row r="1709" spans="12:12" x14ac:dyDescent="0.25">
      <c r="L1709"/>
    </row>
    <row r="1710" spans="12:12" x14ac:dyDescent="0.25">
      <c r="L1710"/>
    </row>
    <row r="1711" spans="12:12" x14ac:dyDescent="0.25">
      <c r="L1711"/>
    </row>
    <row r="1712" spans="12:12" x14ac:dyDescent="0.25">
      <c r="L1712"/>
    </row>
    <row r="1713" spans="12:12" x14ac:dyDescent="0.25">
      <c r="L1713"/>
    </row>
    <row r="1714" spans="12:12" x14ac:dyDescent="0.25">
      <c r="L1714"/>
    </row>
    <row r="1715" spans="12:12" x14ac:dyDescent="0.25">
      <c r="L1715"/>
    </row>
    <row r="1716" spans="12:12" x14ac:dyDescent="0.25">
      <c r="L1716"/>
    </row>
    <row r="1717" spans="12:12" x14ac:dyDescent="0.25">
      <c r="L1717"/>
    </row>
    <row r="1718" spans="12:12" x14ac:dyDescent="0.25">
      <c r="L1718"/>
    </row>
    <row r="1719" spans="12:12" x14ac:dyDescent="0.25">
      <c r="L1719"/>
    </row>
    <row r="1720" spans="12:12" x14ac:dyDescent="0.25">
      <c r="L1720"/>
    </row>
    <row r="1721" spans="12:12" x14ac:dyDescent="0.25">
      <c r="L1721"/>
    </row>
    <row r="1722" spans="12:12" x14ac:dyDescent="0.25">
      <c r="L1722"/>
    </row>
    <row r="1723" spans="12:12" x14ac:dyDescent="0.25">
      <c r="L1723"/>
    </row>
    <row r="1724" spans="12:12" x14ac:dyDescent="0.25">
      <c r="L1724"/>
    </row>
    <row r="1725" spans="12:12" x14ac:dyDescent="0.25">
      <c r="L1725"/>
    </row>
    <row r="1726" spans="12:12" x14ac:dyDescent="0.25">
      <c r="L1726"/>
    </row>
    <row r="1727" spans="12:12" x14ac:dyDescent="0.25">
      <c r="L1727"/>
    </row>
    <row r="1728" spans="12:12" x14ac:dyDescent="0.25">
      <c r="L1728"/>
    </row>
    <row r="1729" spans="12:12" x14ac:dyDescent="0.25">
      <c r="L1729"/>
    </row>
    <row r="1730" spans="12:12" x14ac:dyDescent="0.25">
      <c r="L1730"/>
    </row>
    <row r="1731" spans="12:12" x14ac:dyDescent="0.25">
      <c r="L1731"/>
    </row>
    <row r="1732" spans="12:12" x14ac:dyDescent="0.25">
      <c r="L1732"/>
    </row>
    <row r="1733" spans="12:12" x14ac:dyDescent="0.25">
      <c r="L1733"/>
    </row>
    <row r="1734" spans="12:12" x14ac:dyDescent="0.25">
      <c r="L1734"/>
    </row>
    <row r="1735" spans="12:12" x14ac:dyDescent="0.25">
      <c r="L1735"/>
    </row>
    <row r="1736" spans="12:12" x14ac:dyDescent="0.25">
      <c r="L1736"/>
    </row>
    <row r="1737" spans="12:12" x14ac:dyDescent="0.25">
      <c r="L1737"/>
    </row>
    <row r="1738" spans="12:12" x14ac:dyDescent="0.25">
      <c r="L1738"/>
    </row>
    <row r="1739" spans="12:12" x14ac:dyDescent="0.25">
      <c r="L1739"/>
    </row>
    <row r="1740" spans="12:12" x14ac:dyDescent="0.25">
      <c r="L1740"/>
    </row>
    <row r="1741" spans="12:12" x14ac:dyDescent="0.25">
      <c r="L1741"/>
    </row>
    <row r="1742" spans="12:12" x14ac:dyDescent="0.25">
      <c r="L1742"/>
    </row>
    <row r="1743" spans="12:12" x14ac:dyDescent="0.25">
      <c r="L1743"/>
    </row>
    <row r="1744" spans="12:12" x14ac:dyDescent="0.25">
      <c r="L1744"/>
    </row>
    <row r="1745" spans="12:12" x14ac:dyDescent="0.25">
      <c r="L1745"/>
    </row>
    <row r="1746" spans="12:12" x14ac:dyDescent="0.25">
      <c r="L1746"/>
    </row>
    <row r="1747" spans="12:12" x14ac:dyDescent="0.25">
      <c r="L1747"/>
    </row>
    <row r="1748" spans="12:12" x14ac:dyDescent="0.25">
      <c r="L1748"/>
    </row>
    <row r="1749" spans="12:12" x14ac:dyDescent="0.25">
      <c r="L1749"/>
    </row>
    <row r="1750" spans="12:12" x14ac:dyDescent="0.25">
      <c r="L1750"/>
    </row>
    <row r="1751" spans="12:12" x14ac:dyDescent="0.25">
      <c r="L1751"/>
    </row>
    <row r="1752" spans="12:12" x14ac:dyDescent="0.25">
      <c r="L1752"/>
    </row>
    <row r="1753" spans="12:12" x14ac:dyDescent="0.25">
      <c r="L1753"/>
    </row>
    <row r="1754" spans="12:12" x14ac:dyDescent="0.25">
      <c r="L1754"/>
    </row>
    <row r="1755" spans="12:12" x14ac:dyDescent="0.25">
      <c r="L1755"/>
    </row>
    <row r="1756" spans="12:12" x14ac:dyDescent="0.25">
      <c r="L1756"/>
    </row>
    <row r="1757" spans="12:12" x14ac:dyDescent="0.25">
      <c r="L1757"/>
    </row>
    <row r="1758" spans="12:12" x14ac:dyDescent="0.25">
      <c r="L1758"/>
    </row>
    <row r="1759" spans="12:12" x14ac:dyDescent="0.25">
      <c r="L1759"/>
    </row>
    <row r="1760" spans="12:12" x14ac:dyDescent="0.25">
      <c r="L1760"/>
    </row>
    <row r="1761" spans="12:12" x14ac:dyDescent="0.25">
      <c r="L1761"/>
    </row>
    <row r="1762" spans="12:12" x14ac:dyDescent="0.25">
      <c r="L1762"/>
    </row>
    <row r="1763" spans="12:12" x14ac:dyDescent="0.25">
      <c r="L1763"/>
    </row>
    <row r="1764" spans="12:12" x14ac:dyDescent="0.25">
      <c r="L1764"/>
    </row>
    <row r="1765" spans="12:12" x14ac:dyDescent="0.25">
      <c r="L1765"/>
    </row>
    <row r="1766" spans="12:12" x14ac:dyDescent="0.25">
      <c r="L1766"/>
    </row>
    <row r="1767" spans="12:12" x14ac:dyDescent="0.25">
      <c r="L1767"/>
    </row>
    <row r="1768" spans="12:12" x14ac:dyDescent="0.25">
      <c r="L1768"/>
    </row>
    <row r="1769" spans="12:12" x14ac:dyDescent="0.25">
      <c r="L1769"/>
    </row>
    <row r="1770" spans="12:12" x14ac:dyDescent="0.25">
      <c r="L1770"/>
    </row>
    <row r="1771" spans="12:12" x14ac:dyDescent="0.25">
      <c r="L1771"/>
    </row>
    <row r="1772" spans="12:12" x14ac:dyDescent="0.25">
      <c r="L1772"/>
    </row>
    <row r="1773" spans="12:12" x14ac:dyDescent="0.25">
      <c r="L1773"/>
    </row>
    <row r="1774" spans="12:12" x14ac:dyDescent="0.25">
      <c r="L1774"/>
    </row>
    <row r="1775" spans="12:12" x14ac:dyDescent="0.25">
      <c r="L1775"/>
    </row>
    <row r="1776" spans="12:12" x14ac:dyDescent="0.25">
      <c r="L1776"/>
    </row>
    <row r="1777" spans="12:12" x14ac:dyDescent="0.25">
      <c r="L1777"/>
    </row>
    <row r="1778" spans="12:12" x14ac:dyDescent="0.25">
      <c r="L1778"/>
    </row>
    <row r="1779" spans="12:12" x14ac:dyDescent="0.25">
      <c r="L1779"/>
    </row>
    <row r="1780" spans="12:12" x14ac:dyDescent="0.25">
      <c r="L1780"/>
    </row>
    <row r="1781" spans="12:12" x14ac:dyDescent="0.25">
      <c r="L1781"/>
    </row>
    <row r="1782" spans="12:12" x14ac:dyDescent="0.25">
      <c r="L1782"/>
    </row>
    <row r="1783" spans="12:12" x14ac:dyDescent="0.25">
      <c r="L1783"/>
    </row>
    <row r="1784" spans="12:12" x14ac:dyDescent="0.25">
      <c r="L1784"/>
    </row>
    <row r="1785" spans="12:12" x14ac:dyDescent="0.25">
      <c r="L1785"/>
    </row>
    <row r="1786" spans="12:12" x14ac:dyDescent="0.25">
      <c r="L1786"/>
    </row>
    <row r="1787" spans="12:12" x14ac:dyDescent="0.25">
      <c r="L1787"/>
    </row>
    <row r="1788" spans="12:12" x14ac:dyDescent="0.25">
      <c r="L1788"/>
    </row>
    <row r="1789" spans="12:12" x14ac:dyDescent="0.25">
      <c r="L1789"/>
    </row>
    <row r="1790" spans="12:12" x14ac:dyDescent="0.25">
      <c r="L1790"/>
    </row>
    <row r="1791" spans="12:12" x14ac:dyDescent="0.25">
      <c r="L1791"/>
    </row>
    <row r="1792" spans="12:12" x14ac:dyDescent="0.25">
      <c r="L1792"/>
    </row>
    <row r="1793" spans="12:12" x14ac:dyDescent="0.25">
      <c r="L1793"/>
    </row>
    <row r="1794" spans="12:12" x14ac:dyDescent="0.25">
      <c r="L1794"/>
    </row>
    <row r="1795" spans="12:12" x14ac:dyDescent="0.25">
      <c r="L1795"/>
    </row>
    <row r="1796" spans="12:12" x14ac:dyDescent="0.25">
      <c r="L1796"/>
    </row>
    <row r="1797" spans="12:12" x14ac:dyDescent="0.25">
      <c r="L1797"/>
    </row>
    <row r="1798" spans="12:12" x14ac:dyDescent="0.25">
      <c r="L1798"/>
    </row>
    <row r="1799" spans="12:12" x14ac:dyDescent="0.25">
      <c r="L1799"/>
    </row>
    <row r="1800" spans="12:12" x14ac:dyDescent="0.25">
      <c r="L1800"/>
    </row>
    <row r="1801" spans="12:12" x14ac:dyDescent="0.25">
      <c r="L1801"/>
    </row>
    <row r="1802" spans="12:12" x14ac:dyDescent="0.25">
      <c r="L1802"/>
    </row>
    <row r="1803" spans="12:12" x14ac:dyDescent="0.25">
      <c r="L1803"/>
    </row>
    <row r="1804" spans="12:12" x14ac:dyDescent="0.25">
      <c r="L1804"/>
    </row>
    <row r="1805" spans="12:12" x14ac:dyDescent="0.25">
      <c r="L1805"/>
    </row>
    <row r="1806" spans="12:12" x14ac:dyDescent="0.25">
      <c r="L1806"/>
    </row>
    <row r="1807" spans="12:12" x14ac:dyDescent="0.25">
      <c r="L1807"/>
    </row>
    <row r="1808" spans="12:12" x14ac:dyDescent="0.25">
      <c r="L1808"/>
    </row>
    <row r="1809" spans="12:12" x14ac:dyDescent="0.25">
      <c r="L1809"/>
    </row>
    <row r="1810" spans="12:12" x14ac:dyDescent="0.25">
      <c r="L1810"/>
    </row>
    <row r="1811" spans="12:12" x14ac:dyDescent="0.25">
      <c r="L1811"/>
    </row>
    <row r="1812" spans="12:12" x14ac:dyDescent="0.25">
      <c r="L1812"/>
    </row>
    <row r="1813" spans="12:12" x14ac:dyDescent="0.25">
      <c r="L1813"/>
    </row>
    <row r="1814" spans="12:12" x14ac:dyDescent="0.25">
      <c r="L1814"/>
    </row>
    <row r="1815" spans="12:12" x14ac:dyDescent="0.25">
      <c r="L1815"/>
    </row>
    <row r="1816" spans="12:12" x14ac:dyDescent="0.25">
      <c r="L1816"/>
    </row>
    <row r="1817" spans="12:12" x14ac:dyDescent="0.25">
      <c r="L1817"/>
    </row>
    <row r="1818" spans="12:12" x14ac:dyDescent="0.25">
      <c r="L1818"/>
    </row>
    <row r="1819" spans="12:12" x14ac:dyDescent="0.25">
      <c r="L1819"/>
    </row>
    <row r="1820" spans="12:12" x14ac:dyDescent="0.25">
      <c r="L1820"/>
    </row>
    <row r="1821" spans="12:12" x14ac:dyDescent="0.25">
      <c r="L1821"/>
    </row>
    <row r="1822" spans="12:12" x14ac:dyDescent="0.25">
      <c r="L1822"/>
    </row>
    <row r="1823" spans="12:12" x14ac:dyDescent="0.25">
      <c r="L1823"/>
    </row>
    <row r="1824" spans="12:12" x14ac:dyDescent="0.25">
      <c r="L1824"/>
    </row>
    <row r="1825" spans="12:12" x14ac:dyDescent="0.25">
      <c r="L1825"/>
    </row>
    <row r="1826" spans="12:12" x14ac:dyDescent="0.25">
      <c r="L1826"/>
    </row>
    <row r="1827" spans="12:12" x14ac:dyDescent="0.25">
      <c r="L1827"/>
    </row>
    <row r="1828" spans="12:12" x14ac:dyDescent="0.25">
      <c r="L1828"/>
    </row>
    <row r="1829" spans="12:12" x14ac:dyDescent="0.25">
      <c r="L1829"/>
    </row>
    <row r="1830" spans="12:12" x14ac:dyDescent="0.25">
      <c r="L1830"/>
    </row>
    <row r="1831" spans="12:12" x14ac:dyDescent="0.25">
      <c r="L1831"/>
    </row>
    <row r="1832" spans="12:12" x14ac:dyDescent="0.25">
      <c r="L1832"/>
    </row>
    <row r="1833" spans="12:12" x14ac:dyDescent="0.25">
      <c r="L1833"/>
    </row>
    <row r="1834" spans="12:12" x14ac:dyDescent="0.25">
      <c r="L1834"/>
    </row>
    <row r="1835" spans="12:12" x14ac:dyDescent="0.25">
      <c r="L1835"/>
    </row>
    <row r="1836" spans="12:12" x14ac:dyDescent="0.25">
      <c r="L1836"/>
    </row>
    <row r="1837" spans="12:12" x14ac:dyDescent="0.25">
      <c r="L1837"/>
    </row>
    <row r="1838" spans="12:12" x14ac:dyDescent="0.25">
      <c r="L1838"/>
    </row>
    <row r="1839" spans="12:12" x14ac:dyDescent="0.25">
      <c r="L1839"/>
    </row>
    <row r="1840" spans="12:12" x14ac:dyDescent="0.25">
      <c r="L1840"/>
    </row>
    <row r="1841" spans="12:12" x14ac:dyDescent="0.25">
      <c r="L1841"/>
    </row>
    <row r="1842" spans="12:12" x14ac:dyDescent="0.25">
      <c r="L1842"/>
    </row>
    <row r="1843" spans="12:12" x14ac:dyDescent="0.25">
      <c r="L1843"/>
    </row>
    <row r="1844" spans="12:12" x14ac:dyDescent="0.25">
      <c r="L1844"/>
    </row>
    <row r="1845" spans="12:12" x14ac:dyDescent="0.25">
      <c r="L1845"/>
    </row>
    <row r="1846" spans="12:12" x14ac:dyDescent="0.25">
      <c r="L1846"/>
    </row>
    <row r="1847" spans="12:12" x14ac:dyDescent="0.25">
      <c r="L1847"/>
    </row>
    <row r="1848" spans="12:12" x14ac:dyDescent="0.25">
      <c r="L1848"/>
    </row>
    <row r="1849" spans="12:12" x14ac:dyDescent="0.25">
      <c r="L1849"/>
    </row>
    <row r="1850" spans="12:12" x14ac:dyDescent="0.25">
      <c r="L1850"/>
    </row>
    <row r="1851" spans="12:12" x14ac:dyDescent="0.25">
      <c r="L1851"/>
    </row>
    <row r="1852" spans="12:12" x14ac:dyDescent="0.25">
      <c r="L1852"/>
    </row>
    <row r="1853" spans="12:12" x14ac:dyDescent="0.25">
      <c r="L1853"/>
    </row>
    <row r="1854" spans="12:12" x14ac:dyDescent="0.25">
      <c r="L1854"/>
    </row>
    <row r="1855" spans="12:12" x14ac:dyDescent="0.25">
      <c r="L1855"/>
    </row>
    <row r="1856" spans="12:12" x14ac:dyDescent="0.25">
      <c r="L1856"/>
    </row>
    <row r="1857" spans="12:12" x14ac:dyDescent="0.25">
      <c r="L1857"/>
    </row>
    <row r="1858" spans="12:12" x14ac:dyDescent="0.25">
      <c r="L1858"/>
    </row>
    <row r="1859" spans="12:12" x14ac:dyDescent="0.25">
      <c r="L1859"/>
    </row>
    <row r="1860" spans="12:12" x14ac:dyDescent="0.25">
      <c r="L1860"/>
    </row>
    <row r="1861" spans="12:12" x14ac:dyDescent="0.25">
      <c r="L1861"/>
    </row>
    <row r="1862" spans="12:12" x14ac:dyDescent="0.25">
      <c r="L1862"/>
    </row>
    <row r="1863" spans="12:12" x14ac:dyDescent="0.25">
      <c r="L1863"/>
    </row>
    <row r="1864" spans="12:12" x14ac:dyDescent="0.25">
      <c r="L1864"/>
    </row>
    <row r="1865" spans="12:12" x14ac:dyDescent="0.25">
      <c r="L1865"/>
    </row>
    <row r="1866" spans="12:12" x14ac:dyDescent="0.25">
      <c r="L1866"/>
    </row>
    <row r="1867" spans="12:12" x14ac:dyDescent="0.25">
      <c r="L1867"/>
    </row>
    <row r="1868" spans="12:12" x14ac:dyDescent="0.25">
      <c r="L1868"/>
    </row>
    <row r="1869" spans="12:12" x14ac:dyDescent="0.25">
      <c r="L1869"/>
    </row>
    <row r="1870" spans="12:12" x14ac:dyDescent="0.25">
      <c r="L1870"/>
    </row>
    <row r="1871" spans="12:12" x14ac:dyDescent="0.25">
      <c r="L1871"/>
    </row>
    <row r="1872" spans="12:12" x14ac:dyDescent="0.25">
      <c r="L1872"/>
    </row>
    <row r="1873" spans="12:12" x14ac:dyDescent="0.25">
      <c r="L1873"/>
    </row>
    <row r="1874" spans="12:12" x14ac:dyDescent="0.25">
      <c r="L1874"/>
    </row>
    <row r="1875" spans="12:12" x14ac:dyDescent="0.25">
      <c r="L1875"/>
    </row>
    <row r="1876" spans="12:12" x14ac:dyDescent="0.25">
      <c r="L1876"/>
    </row>
    <row r="1877" spans="12:12" x14ac:dyDescent="0.25">
      <c r="L1877"/>
    </row>
    <row r="1878" spans="12:12" x14ac:dyDescent="0.25">
      <c r="L1878"/>
    </row>
    <row r="1879" spans="12:12" x14ac:dyDescent="0.25">
      <c r="L1879"/>
    </row>
    <row r="1880" spans="12:12" x14ac:dyDescent="0.25">
      <c r="L1880"/>
    </row>
    <row r="1881" spans="12:12" x14ac:dyDescent="0.25">
      <c r="L1881"/>
    </row>
    <row r="1882" spans="12:12" x14ac:dyDescent="0.25">
      <c r="L1882"/>
    </row>
    <row r="1883" spans="12:12" x14ac:dyDescent="0.25">
      <c r="L1883"/>
    </row>
    <row r="1884" spans="12:12" x14ac:dyDescent="0.25">
      <c r="L1884"/>
    </row>
    <row r="1885" spans="12:12" x14ac:dyDescent="0.25">
      <c r="L1885"/>
    </row>
    <row r="1886" spans="12:12" x14ac:dyDescent="0.25">
      <c r="L1886"/>
    </row>
    <row r="1887" spans="12:12" x14ac:dyDescent="0.25">
      <c r="L1887"/>
    </row>
    <row r="1888" spans="12:12" x14ac:dyDescent="0.25">
      <c r="L1888"/>
    </row>
    <row r="1889" spans="12:12" x14ac:dyDescent="0.25">
      <c r="L1889"/>
    </row>
    <row r="1890" spans="12:12" x14ac:dyDescent="0.25">
      <c r="L1890"/>
    </row>
    <row r="1891" spans="12:12" x14ac:dyDescent="0.25">
      <c r="L1891"/>
    </row>
    <row r="1892" spans="12:12" x14ac:dyDescent="0.25">
      <c r="L1892"/>
    </row>
    <row r="1893" spans="12:12" x14ac:dyDescent="0.25">
      <c r="L1893"/>
    </row>
    <row r="1894" spans="12:12" x14ac:dyDescent="0.25">
      <c r="L1894"/>
    </row>
    <row r="1895" spans="12:12" x14ac:dyDescent="0.25">
      <c r="L1895"/>
    </row>
    <row r="1896" spans="12:12" x14ac:dyDescent="0.25">
      <c r="L1896"/>
    </row>
    <row r="1897" spans="12:12" x14ac:dyDescent="0.25">
      <c r="L1897"/>
    </row>
    <row r="1898" spans="12:12" x14ac:dyDescent="0.25">
      <c r="L1898"/>
    </row>
    <row r="1899" spans="12:12" x14ac:dyDescent="0.25">
      <c r="L1899"/>
    </row>
    <row r="1900" spans="12:12" x14ac:dyDescent="0.25">
      <c r="L1900"/>
    </row>
    <row r="1901" spans="12:12" x14ac:dyDescent="0.25">
      <c r="L1901"/>
    </row>
    <row r="1902" spans="12:12" x14ac:dyDescent="0.25">
      <c r="L1902"/>
    </row>
    <row r="1903" spans="12:12" x14ac:dyDescent="0.25">
      <c r="L1903"/>
    </row>
    <row r="1904" spans="12:12" x14ac:dyDescent="0.25">
      <c r="L1904"/>
    </row>
    <row r="1905" spans="12:12" x14ac:dyDescent="0.25">
      <c r="L1905"/>
    </row>
    <row r="1906" spans="12:12" x14ac:dyDescent="0.25">
      <c r="L1906"/>
    </row>
    <row r="1907" spans="12:12" x14ac:dyDescent="0.25">
      <c r="L1907"/>
    </row>
    <row r="1908" spans="12:12" x14ac:dyDescent="0.25">
      <c r="L1908"/>
    </row>
    <row r="1909" spans="12:12" x14ac:dyDescent="0.25">
      <c r="L1909"/>
    </row>
    <row r="1910" spans="12:12" x14ac:dyDescent="0.25">
      <c r="L1910"/>
    </row>
    <row r="1911" spans="12:12" x14ac:dyDescent="0.25">
      <c r="L1911"/>
    </row>
    <row r="1912" spans="12:12" x14ac:dyDescent="0.25">
      <c r="L1912"/>
    </row>
    <row r="1913" spans="12:12" x14ac:dyDescent="0.25">
      <c r="L1913"/>
    </row>
    <row r="1914" spans="12:12" x14ac:dyDescent="0.25">
      <c r="L1914"/>
    </row>
    <row r="1915" spans="12:12" x14ac:dyDescent="0.25">
      <c r="L1915"/>
    </row>
    <row r="1916" spans="12:12" x14ac:dyDescent="0.25">
      <c r="L1916"/>
    </row>
    <row r="1917" spans="12:12" x14ac:dyDescent="0.25">
      <c r="L1917"/>
    </row>
    <row r="1918" spans="12:12" x14ac:dyDescent="0.25">
      <c r="L1918"/>
    </row>
    <row r="1919" spans="12:12" x14ac:dyDescent="0.25">
      <c r="L1919"/>
    </row>
    <row r="1920" spans="12:12" x14ac:dyDescent="0.25">
      <c r="L1920"/>
    </row>
    <row r="1921" spans="12:12" x14ac:dyDescent="0.25">
      <c r="L1921"/>
    </row>
    <row r="1922" spans="12:12" x14ac:dyDescent="0.25">
      <c r="L1922"/>
    </row>
    <row r="1923" spans="12:12" x14ac:dyDescent="0.25">
      <c r="L1923"/>
    </row>
    <row r="1924" spans="12:12" x14ac:dyDescent="0.25">
      <c r="L1924"/>
    </row>
    <row r="1925" spans="12:12" x14ac:dyDescent="0.25">
      <c r="L1925"/>
    </row>
    <row r="1926" spans="12:12" x14ac:dyDescent="0.25">
      <c r="L1926"/>
    </row>
    <row r="1927" spans="12:12" x14ac:dyDescent="0.25">
      <c r="L1927"/>
    </row>
    <row r="1928" spans="12:12" x14ac:dyDescent="0.25">
      <c r="L1928"/>
    </row>
    <row r="1929" spans="12:12" x14ac:dyDescent="0.25">
      <c r="L1929"/>
    </row>
    <row r="1930" spans="12:12" x14ac:dyDescent="0.25">
      <c r="L1930"/>
    </row>
    <row r="1931" spans="12:12" x14ac:dyDescent="0.25">
      <c r="L1931"/>
    </row>
    <row r="1932" spans="12:12" x14ac:dyDescent="0.25">
      <c r="L1932"/>
    </row>
    <row r="1933" spans="12:12" x14ac:dyDescent="0.25">
      <c r="L1933"/>
    </row>
    <row r="1934" spans="12:12" x14ac:dyDescent="0.25">
      <c r="L1934"/>
    </row>
    <row r="1935" spans="12:12" x14ac:dyDescent="0.25">
      <c r="L1935"/>
    </row>
    <row r="1936" spans="12:12" x14ac:dyDescent="0.25">
      <c r="L1936"/>
    </row>
    <row r="1937" spans="12:12" x14ac:dyDescent="0.25">
      <c r="L1937"/>
    </row>
    <row r="1938" spans="12:12" x14ac:dyDescent="0.25">
      <c r="L1938"/>
    </row>
    <row r="1939" spans="12:12" x14ac:dyDescent="0.25">
      <c r="L1939"/>
    </row>
    <row r="1940" spans="12:12" x14ac:dyDescent="0.25">
      <c r="L1940"/>
    </row>
    <row r="1941" spans="12:12" x14ac:dyDescent="0.25">
      <c r="L1941"/>
    </row>
    <row r="1942" spans="12:12" x14ac:dyDescent="0.25">
      <c r="L1942"/>
    </row>
    <row r="1943" spans="12:12" x14ac:dyDescent="0.25">
      <c r="L1943"/>
    </row>
    <row r="1944" spans="12:12" x14ac:dyDescent="0.25">
      <c r="L1944"/>
    </row>
    <row r="1945" spans="12:12" x14ac:dyDescent="0.25">
      <c r="L1945"/>
    </row>
    <row r="1946" spans="12:12" x14ac:dyDescent="0.25">
      <c r="L1946"/>
    </row>
    <row r="1947" spans="12:12" x14ac:dyDescent="0.25">
      <c r="L1947"/>
    </row>
    <row r="1948" spans="12:12" x14ac:dyDescent="0.25">
      <c r="L1948"/>
    </row>
    <row r="1949" spans="12:12" x14ac:dyDescent="0.25">
      <c r="L1949"/>
    </row>
    <row r="1950" spans="12:12" x14ac:dyDescent="0.25">
      <c r="L1950"/>
    </row>
    <row r="1951" spans="12:12" x14ac:dyDescent="0.25">
      <c r="L1951"/>
    </row>
    <row r="1952" spans="12:12" x14ac:dyDescent="0.25">
      <c r="L1952"/>
    </row>
    <row r="1953" spans="12:12" x14ac:dyDescent="0.25">
      <c r="L1953"/>
    </row>
    <row r="1954" spans="12:12" x14ac:dyDescent="0.25">
      <c r="L1954"/>
    </row>
    <row r="1955" spans="12:12" x14ac:dyDescent="0.25">
      <c r="L1955"/>
    </row>
    <row r="1956" spans="12:12" x14ac:dyDescent="0.25">
      <c r="L1956"/>
    </row>
    <row r="1957" spans="12:12" x14ac:dyDescent="0.25">
      <c r="L1957"/>
    </row>
    <row r="1958" spans="12:12" x14ac:dyDescent="0.25">
      <c r="L1958"/>
    </row>
    <row r="1959" spans="12:12" x14ac:dyDescent="0.25">
      <c r="L1959"/>
    </row>
    <row r="1960" spans="12:12" x14ac:dyDescent="0.25">
      <c r="L1960"/>
    </row>
    <row r="1961" spans="12:12" x14ac:dyDescent="0.25">
      <c r="L1961"/>
    </row>
    <row r="1962" spans="12:12" x14ac:dyDescent="0.25">
      <c r="L1962"/>
    </row>
    <row r="1963" spans="12:12" x14ac:dyDescent="0.25">
      <c r="L1963"/>
    </row>
    <row r="1964" spans="12:12" x14ac:dyDescent="0.25">
      <c r="L1964"/>
    </row>
    <row r="1965" spans="12:12" x14ac:dyDescent="0.25">
      <c r="L1965"/>
    </row>
    <row r="1966" spans="12:12" x14ac:dyDescent="0.25">
      <c r="L1966"/>
    </row>
    <row r="1967" spans="12:12" x14ac:dyDescent="0.25">
      <c r="L1967"/>
    </row>
    <row r="1968" spans="12:12" x14ac:dyDescent="0.25">
      <c r="L1968"/>
    </row>
    <row r="1969" spans="12:12" x14ac:dyDescent="0.25">
      <c r="L1969"/>
    </row>
    <row r="1970" spans="12:12" x14ac:dyDescent="0.25">
      <c r="L1970"/>
    </row>
    <row r="1971" spans="12:12" x14ac:dyDescent="0.25">
      <c r="L1971"/>
    </row>
    <row r="1972" spans="12:12" x14ac:dyDescent="0.25">
      <c r="L1972"/>
    </row>
    <row r="1973" spans="12:12" x14ac:dyDescent="0.25">
      <c r="L1973"/>
    </row>
    <row r="1974" spans="12:12" x14ac:dyDescent="0.25">
      <c r="L1974"/>
    </row>
    <row r="1975" spans="12:12" x14ac:dyDescent="0.25">
      <c r="L1975"/>
    </row>
    <row r="1976" spans="12:12" x14ac:dyDescent="0.25">
      <c r="L1976"/>
    </row>
    <row r="1977" spans="12:12" x14ac:dyDescent="0.25">
      <c r="L1977"/>
    </row>
    <row r="1978" spans="12:12" x14ac:dyDescent="0.25">
      <c r="L1978"/>
    </row>
    <row r="1979" spans="12:12" x14ac:dyDescent="0.25">
      <c r="L1979"/>
    </row>
    <row r="1980" spans="12:12" x14ac:dyDescent="0.25">
      <c r="L1980"/>
    </row>
    <row r="1981" spans="12:12" x14ac:dyDescent="0.25">
      <c r="L1981"/>
    </row>
    <row r="1982" spans="12:12" x14ac:dyDescent="0.25">
      <c r="L1982"/>
    </row>
    <row r="1983" spans="12:12" x14ac:dyDescent="0.25">
      <c r="L1983"/>
    </row>
    <row r="1984" spans="12:12" x14ac:dyDescent="0.25">
      <c r="L1984"/>
    </row>
    <row r="1985" spans="12:12" x14ac:dyDescent="0.25">
      <c r="L1985"/>
    </row>
    <row r="1986" spans="12:12" x14ac:dyDescent="0.25">
      <c r="L1986"/>
    </row>
    <row r="1987" spans="12:12" x14ac:dyDescent="0.25">
      <c r="L1987"/>
    </row>
    <row r="1988" spans="12:12" x14ac:dyDescent="0.25">
      <c r="L1988"/>
    </row>
    <row r="1989" spans="12:12" x14ac:dyDescent="0.25">
      <c r="L1989"/>
    </row>
    <row r="1990" spans="12:12" x14ac:dyDescent="0.25">
      <c r="L1990"/>
    </row>
    <row r="1991" spans="12:12" x14ac:dyDescent="0.25">
      <c r="L1991"/>
    </row>
    <row r="1992" spans="12:12" x14ac:dyDescent="0.25">
      <c r="L1992"/>
    </row>
    <row r="1993" spans="12:12" x14ac:dyDescent="0.25">
      <c r="L1993"/>
    </row>
    <row r="1994" spans="12:12" x14ac:dyDescent="0.25">
      <c r="L1994"/>
    </row>
    <row r="1995" spans="12:12" x14ac:dyDescent="0.25">
      <c r="L1995"/>
    </row>
    <row r="1996" spans="12:12" x14ac:dyDescent="0.25">
      <c r="L1996"/>
    </row>
    <row r="1997" spans="12:12" x14ac:dyDescent="0.25">
      <c r="L1997"/>
    </row>
    <row r="1998" spans="12:12" x14ac:dyDescent="0.25">
      <c r="L1998"/>
    </row>
    <row r="1999" spans="12:12" x14ac:dyDescent="0.25">
      <c r="L1999"/>
    </row>
    <row r="2000" spans="12:12" x14ac:dyDescent="0.25">
      <c r="L2000"/>
    </row>
    <row r="2001" spans="12:12" x14ac:dyDescent="0.25">
      <c r="L2001"/>
    </row>
    <row r="2002" spans="12:12" x14ac:dyDescent="0.25">
      <c r="L2002"/>
    </row>
    <row r="2003" spans="12:12" x14ac:dyDescent="0.25">
      <c r="L2003"/>
    </row>
    <row r="2004" spans="12:12" x14ac:dyDescent="0.25">
      <c r="L2004"/>
    </row>
    <row r="2005" spans="12:12" x14ac:dyDescent="0.25">
      <c r="L2005"/>
    </row>
    <row r="2006" spans="12:12" x14ac:dyDescent="0.25">
      <c r="L2006"/>
    </row>
    <row r="2007" spans="12:12" x14ac:dyDescent="0.25">
      <c r="L2007"/>
    </row>
    <row r="2008" spans="12:12" x14ac:dyDescent="0.25">
      <c r="L2008"/>
    </row>
    <row r="2009" spans="12:12" x14ac:dyDescent="0.25">
      <c r="L2009"/>
    </row>
    <row r="2010" spans="12:12" x14ac:dyDescent="0.25">
      <c r="L2010"/>
    </row>
    <row r="2011" spans="12:12" x14ac:dyDescent="0.25">
      <c r="L2011"/>
    </row>
    <row r="2012" spans="12:12" x14ac:dyDescent="0.25">
      <c r="L2012"/>
    </row>
    <row r="2013" spans="12:12" x14ac:dyDescent="0.25">
      <c r="L2013"/>
    </row>
    <row r="2014" spans="12:12" x14ac:dyDescent="0.25">
      <c r="L2014"/>
    </row>
    <row r="2015" spans="12:12" x14ac:dyDescent="0.25">
      <c r="L2015"/>
    </row>
    <row r="2016" spans="12:12" x14ac:dyDescent="0.25">
      <c r="L2016"/>
    </row>
    <row r="2017" spans="12:12" x14ac:dyDescent="0.25">
      <c r="L2017"/>
    </row>
    <row r="2018" spans="12:12" x14ac:dyDescent="0.25">
      <c r="L2018"/>
    </row>
    <row r="2019" spans="12:12" x14ac:dyDescent="0.25">
      <c r="L2019"/>
    </row>
    <row r="2020" spans="12:12" x14ac:dyDescent="0.25">
      <c r="L2020"/>
    </row>
    <row r="2021" spans="12:12" x14ac:dyDescent="0.25">
      <c r="L2021"/>
    </row>
    <row r="2022" spans="12:12" x14ac:dyDescent="0.25">
      <c r="L2022"/>
    </row>
    <row r="2023" spans="12:12" x14ac:dyDescent="0.25">
      <c r="L2023"/>
    </row>
    <row r="2024" spans="12:12" x14ac:dyDescent="0.25">
      <c r="L2024"/>
    </row>
    <row r="2025" spans="12:12" x14ac:dyDescent="0.25">
      <c r="L2025"/>
    </row>
    <row r="2026" spans="12:12" x14ac:dyDescent="0.25">
      <c r="L2026"/>
    </row>
    <row r="2027" spans="12:12" x14ac:dyDescent="0.25">
      <c r="L2027"/>
    </row>
    <row r="2028" spans="12:12" x14ac:dyDescent="0.25">
      <c r="L2028"/>
    </row>
    <row r="2029" spans="12:12" x14ac:dyDescent="0.25">
      <c r="L2029"/>
    </row>
    <row r="2030" spans="12:12" x14ac:dyDescent="0.25">
      <c r="L2030"/>
    </row>
    <row r="2031" spans="12:12" x14ac:dyDescent="0.25">
      <c r="L2031"/>
    </row>
    <row r="2032" spans="12:12" x14ac:dyDescent="0.25">
      <c r="L2032"/>
    </row>
    <row r="2033" spans="12:12" x14ac:dyDescent="0.25">
      <c r="L2033"/>
    </row>
    <row r="2034" spans="12:12" x14ac:dyDescent="0.25">
      <c r="L2034"/>
    </row>
    <row r="2035" spans="12:12" x14ac:dyDescent="0.25">
      <c r="L2035"/>
    </row>
    <row r="2036" spans="12:12" x14ac:dyDescent="0.25">
      <c r="L2036"/>
    </row>
    <row r="2037" spans="12:12" x14ac:dyDescent="0.25">
      <c r="L2037"/>
    </row>
    <row r="2038" spans="12:12" x14ac:dyDescent="0.25">
      <c r="L2038"/>
    </row>
    <row r="2039" spans="12:12" x14ac:dyDescent="0.25">
      <c r="L2039"/>
    </row>
    <row r="2040" spans="12:12" x14ac:dyDescent="0.25">
      <c r="L2040"/>
    </row>
    <row r="2041" spans="12:12" x14ac:dyDescent="0.25">
      <c r="L2041"/>
    </row>
    <row r="2042" spans="12:12" x14ac:dyDescent="0.25">
      <c r="L2042"/>
    </row>
    <row r="2043" spans="12:12" x14ac:dyDescent="0.25">
      <c r="L2043"/>
    </row>
    <row r="2044" spans="12:12" x14ac:dyDescent="0.25">
      <c r="L2044"/>
    </row>
    <row r="2045" spans="12:12" x14ac:dyDescent="0.25">
      <c r="L2045"/>
    </row>
    <row r="2046" spans="12:12" x14ac:dyDescent="0.25">
      <c r="L2046"/>
    </row>
    <row r="2047" spans="12:12" x14ac:dyDescent="0.25">
      <c r="L2047"/>
    </row>
    <row r="2048" spans="12:12" x14ac:dyDescent="0.25">
      <c r="L2048"/>
    </row>
    <row r="2049" spans="12:12" x14ac:dyDescent="0.25">
      <c r="L2049"/>
    </row>
    <row r="2050" spans="12:12" x14ac:dyDescent="0.25">
      <c r="L2050"/>
    </row>
    <row r="2051" spans="12:12" x14ac:dyDescent="0.25">
      <c r="L2051"/>
    </row>
    <row r="2052" spans="12:12" x14ac:dyDescent="0.25">
      <c r="L2052"/>
    </row>
    <row r="2053" spans="12:12" x14ac:dyDescent="0.25">
      <c r="L2053"/>
    </row>
    <row r="2054" spans="12:12" x14ac:dyDescent="0.25">
      <c r="L2054"/>
    </row>
    <row r="2055" spans="12:12" x14ac:dyDescent="0.25">
      <c r="L2055"/>
    </row>
    <row r="2056" spans="12:12" x14ac:dyDescent="0.25">
      <c r="L2056"/>
    </row>
    <row r="2057" spans="12:12" x14ac:dyDescent="0.25">
      <c r="L2057"/>
    </row>
    <row r="2058" spans="12:12" x14ac:dyDescent="0.25">
      <c r="L2058"/>
    </row>
    <row r="2059" spans="12:12" x14ac:dyDescent="0.25">
      <c r="L2059"/>
    </row>
    <row r="2060" spans="12:12" x14ac:dyDescent="0.25">
      <c r="L2060"/>
    </row>
    <row r="2061" spans="12:12" x14ac:dyDescent="0.25">
      <c r="L2061"/>
    </row>
    <row r="2062" spans="12:12" x14ac:dyDescent="0.25">
      <c r="L2062"/>
    </row>
    <row r="2063" spans="12:12" x14ac:dyDescent="0.25">
      <c r="L2063"/>
    </row>
    <row r="2064" spans="12:12" x14ac:dyDescent="0.25">
      <c r="L2064"/>
    </row>
    <row r="2065" spans="12:12" x14ac:dyDescent="0.25">
      <c r="L2065"/>
    </row>
    <row r="2066" spans="12:12" x14ac:dyDescent="0.25">
      <c r="L2066"/>
    </row>
    <row r="2067" spans="12:12" x14ac:dyDescent="0.25">
      <c r="L2067"/>
    </row>
    <row r="2068" spans="12:12" x14ac:dyDescent="0.25">
      <c r="L2068"/>
    </row>
    <row r="2069" spans="12:12" x14ac:dyDescent="0.25">
      <c r="L2069"/>
    </row>
    <row r="2070" spans="12:12" x14ac:dyDescent="0.25">
      <c r="L2070"/>
    </row>
    <row r="2071" spans="12:12" x14ac:dyDescent="0.25">
      <c r="L2071"/>
    </row>
    <row r="2072" spans="12:12" x14ac:dyDescent="0.25">
      <c r="L2072"/>
    </row>
    <row r="2073" spans="12:12" x14ac:dyDescent="0.25">
      <c r="L2073"/>
    </row>
    <row r="2074" spans="12:12" x14ac:dyDescent="0.25">
      <c r="L2074"/>
    </row>
    <row r="2075" spans="12:12" x14ac:dyDescent="0.25">
      <c r="L2075"/>
    </row>
    <row r="2076" spans="12:12" x14ac:dyDescent="0.25">
      <c r="L2076"/>
    </row>
    <row r="2077" spans="12:12" x14ac:dyDescent="0.25">
      <c r="L2077"/>
    </row>
    <row r="2078" spans="12:12" x14ac:dyDescent="0.25">
      <c r="L2078"/>
    </row>
    <row r="2079" spans="12:12" x14ac:dyDescent="0.25">
      <c r="L2079"/>
    </row>
    <row r="2080" spans="12:12" x14ac:dyDescent="0.25">
      <c r="L2080"/>
    </row>
    <row r="2081" spans="12:12" x14ac:dyDescent="0.25">
      <c r="L2081"/>
    </row>
    <row r="2082" spans="12:12" x14ac:dyDescent="0.25">
      <c r="L2082"/>
    </row>
    <row r="2083" spans="12:12" x14ac:dyDescent="0.25">
      <c r="L2083"/>
    </row>
    <row r="2084" spans="12:12" x14ac:dyDescent="0.25">
      <c r="L2084"/>
    </row>
    <row r="2085" spans="12:12" x14ac:dyDescent="0.25">
      <c r="L2085"/>
    </row>
    <row r="2086" spans="12:12" x14ac:dyDescent="0.25">
      <c r="L2086"/>
    </row>
    <row r="2087" spans="12:12" x14ac:dyDescent="0.25">
      <c r="L2087"/>
    </row>
    <row r="2088" spans="12:12" x14ac:dyDescent="0.25">
      <c r="L2088"/>
    </row>
    <row r="2089" spans="12:12" x14ac:dyDescent="0.25">
      <c r="L2089"/>
    </row>
    <row r="2090" spans="12:12" x14ac:dyDescent="0.25">
      <c r="L2090"/>
    </row>
    <row r="2091" spans="12:12" x14ac:dyDescent="0.25">
      <c r="L2091"/>
    </row>
    <row r="2092" spans="12:12" x14ac:dyDescent="0.25">
      <c r="L2092"/>
    </row>
    <row r="2093" spans="12:12" x14ac:dyDescent="0.25">
      <c r="L2093"/>
    </row>
    <row r="2094" spans="12:12" x14ac:dyDescent="0.25">
      <c r="L2094"/>
    </row>
    <row r="2095" spans="12:12" x14ac:dyDescent="0.25">
      <c r="L2095"/>
    </row>
    <row r="2096" spans="12:12" x14ac:dyDescent="0.25">
      <c r="L2096"/>
    </row>
    <row r="2097" spans="12:12" x14ac:dyDescent="0.25">
      <c r="L2097"/>
    </row>
    <row r="2098" spans="12:12" x14ac:dyDescent="0.25">
      <c r="L2098"/>
    </row>
    <row r="2099" spans="12:12" x14ac:dyDescent="0.25">
      <c r="L2099"/>
    </row>
    <row r="2100" spans="12:12" x14ac:dyDescent="0.25">
      <c r="L2100"/>
    </row>
    <row r="2101" spans="12:12" x14ac:dyDescent="0.25">
      <c r="L2101"/>
    </row>
    <row r="2102" spans="12:12" x14ac:dyDescent="0.25">
      <c r="L2102"/>
    </row>
    <row r="2103" spans="12:12" x14ac:dyDescent="0.25">
      <c r="L2103"/>
    </row>
    <row r="2104" spans="12:12" x14ac:dyDescent="0.25">
      <c r="L2104"/>
    </row>
    <row r="2105" spans="12:12" x14ac:dyDescent="0.25">
      <c r="L2105"/>
    </row>
    <row r="2106" spans="12:12" x14ac:dyDescent="0.25">
      <c r="L2106"/>
    </row>
    <row r="2107" spans="12:12" x14ac:dyDescent="0.25">
      <c r="L2107"/>
    </row>
    <row r="2108" spans="12:12" x14ac:dyDescent="0.25">
      <c r="L2108"/>
    </row>
    <row r="2109" spans="12:12" x14ac:dyDescent="0.25">
      <c r="L2109"/>
    </row>
    <row r="2110" spans="12:12" x14ac:dyDescent="0.25">
      <c r="L2110"/>
    </row>
    <row r="2111" spans="12:12" x14ac:dyDescent="0.25">
      <c r="L2111"/>
    </row>
    <row r="2112" spans="12:12" x14ac:dyDescent="0.25">
      <c r="L2112"/>
    </row>
    <row r="2113" spans="12:12" x14ac:dyDescent="0.25">
      <c r="L2113"/>
    </row>
    <row r="2114" spans="12:12" x14ac:dyDescent="0.25">
      <c r="L2114"/>
    </row>
    <row r="2115" spans="12:12" x14ac:dyDescent="0.25">
      <c r="L2115"/>
    </row>
    <row r="2116" spans="12:12" x14ac:dyDescent="0.25">
      <c r="L2116"/>
    </row>
    <row r="2117" spans="12:12" x14ac:dyDescent="0.25">
      <c r="L2117"/>
    </row>
    <row r="2118" spans="12:12" x14ac:dyDescent="0.25">
      <c r="L2118"/>
    </row>
    <row r="2119" spans="12:12" x14ac:dyDescent="0.25">
      <c r="L2119"/>
    </row>
    <row r="2120" spans="12:12" x14ac:dyDescent="0.25">
      <c r="L2120"/>
    </row>
    <row r="2121" spans="12:12" x14ac:dyDescent="0.25">
      <c r="L2121"/>
    </row>
    <row r="2122" spans="12:12" x14ac:dyDescent="0.25">
      <c r="L2122"/>
    </row>
    <row r="2123" spans="12:12" x14ac:dyDescent="0.25">
      <c r="L2123"/>
    </row>
    <row r="2124" spans="12:12" x14ac:dyDescent="0.25">
      <c r="L2124"/>
    </row>
    <row r="2125" spans="12:12" x14ac:dyDescent="0.25">
      <c r="L2125"/>
    </row>
    <row r="2126" spans="12:12" x14ac:dyDescent="0.25">
      <c r="L2126"/>
    </row>
    <row r="2127" spans="12:12" x14ac:dyDescent="0.25">
      <c r="L2127"/>
    </row>
    <row r="2128" spans="12:12" x14ac:dyDescent="0.25">
      <c r="L2128"/>
    </row>
    <row r="2129" spans="12:12" x14ac:dyDescent="0.25">
      <c r="L2129"/>
    </row>
    <row r="2130" spans="12:12" x14ac:dyDescent="0.25">
      <c r="L2130"/>
    </row>
    <row r="2131" spans="12:12" x14ac:dyDescent="0.25">
      <c r="L2131"/>
    </row>
    <row r="2132" spans="12:12" x14ac:dyDescent="0.25">
      <c r="L2132"/>
    </row>
    <row r="2133" spans="12:12" x14ac:dyDescent="0.25">
      <c r="L2133"/>
    </row>
    <row r="2134" spans="12:12" x14ac:dyDescent="0.25">
      <c r="L2134"/>
    </row>
    <row r="2135" spans="12:12" x14ac:dyDescent="0.25">
      <c r="L2135"/>
    </row>
    <row r="2136" spans="12:12" x14ac:dyDescent="0.25">
      <c r="L2136"/>
    </row>
    <row r="2137" spans="12:12" x14ac:dyDescent="0.25">
      <c r="L2137"/>
    </row>
    <row r="2138" spans="12:12" x14ac:dyDescent="0.25">
      <c r="L2138"/>
    </row>
    <row r="2139" spans="12:12" x14ac:dyDescent="0.25">
      <c r="L2139"/>
    </row>
    <row r="2140" spans="12:12" x14ac:dyDescent="0.25">
      <c r="L2140"/>
    </row>
    <row r="2141" spans="12:12" x14ac:dyDescent="0.25">
      <c r="L2141"/>
    </row>
    <row r="2142" spans="12:12" x14ac:dyDescent="0.25">
      <c r="L2142"/>
    </row>
    <row r="2143" spans="12:12" x14ac:dyDescent="0.25">
      <c r="L2143"/>
    </row>
    <row r="2144" spans="12:12" x14ac:dyDescent="0.25">
      <c r="L2144"/>
    </row>
    <row r="2145" spans="12:12" x14ac:dyDescent="0.25">
      <c r="L2145"/>
    </row>
    <row r="2146" spans="12:12" x14ac:dyDescent="0.25">
      <c r="L2146"/>
    </row>
    <row r="2147" spans="12:12" x14ac:dyDescent="0.25">
      <c r="L2147"/>
    </row>
    <row r="2148" spans="12:12" x14ac:dyDescent="0.25">
      <c r="L2148"/>
    </row>
    <row r="2149" spans="12:12" x14ac:dyDescent="0.25">
      <c r="L2149"/>
    </row>
    <row r="2150" spans="12:12" x14ac:dyDescent="0.25">
      <c r="L2150"/>
    </row>
    <row r="2151" spans="12:12" x14ac:dyDescent="0.25">
      <c r="L2151"/>
    </row>
    <row r="2152" spans="12:12" x14ac:dyDescent="0.25">
      <c r="L2152"/>
    </row>
    <row r="2153" spans="12:12" x14ac:dyDescent="0.25">
      <c r="L2153"/>
    </row>
    <row r="2154" spans="12:12" x14ac:dyDescent="0.25">
      <c r="L2154"/>
    </row>
    <row r="2155" spans="12:12" x14ac:dyDescent="0.25">
      <c r="L2155"/>
    </row>
    <row r="2156" spans="12:12" x14ac:dyDescent="0.25">
      <c r="L2156"/>
    </row>
    <row r="2157" spans="12:12" x14ac:dyDescent="0.25">
      <c r="L2157"/>
    </row>
    <row r="2158" spans="12:12" x14ac:dyDescent="0.25">
      <c r="L2158"/>
    </row>
    <row r="2159" spans="12:12" x14ac:dyDescent="0.25">
      <c r="L2159"/>
    </row>
    <row r="2160" spans="12:12" x14ac:dyDescent="0.25">
      <c r="L2160"/>
    </row>
    <row r="2161" spans="12:12" x14ac:dyDescent="0.25">
      <c r="L2161"/>
    </row>
    <row r="2162" spans="12:12" x14ac:dyDescent="0.25">
      <c r="L2162"/>
    </row>
    <row r="2163" spans="12:12" x14ac:dyDescent="0.25">
      <c r="L2163"/>
    </row>
    <row r="2164" spans="12:12" x14ac:dyDescent="0.25">
      <c r="L2164"/>
    </row>
    <row r="2165" spans="12:12" x14ac:dyDescent="0.25">
      <c r="L2165"/>
    </row>
    <row r="2166" spans="12:12" x14ac:dyDescent="0.25">
      <c r="L2166"/>
    </row>
    <row r="2167" spans="12:12" x14ac:dyDescent="0.25">
      <c r="L2167"/>
    </row>
    <row r="2168" spans="12:12" x14ac:dyDescent="0.25">
      <c r="L2168"/>
    </row>
    <row r="2169" spans="12:12" x14ac:dyDescent="0.25">
      <c r="L2169"/>
    </row>
    <row r="2170" spans="12:12" x14ac:dyDescent="0.25">
      <c r="L2170"/>
    </row>
    <row r="2171" spans="12:12" x14ac:dyDescent="0.25">
      <c r="L2171"/>
    </row>
    <row r="2172" spans="12:12" x14ac:dyDescent="0.25">
      <c r="L2172"/>
    </row>
    <row r="2173" spans="12:12" x14ac:dyDescent="0.25">
      <c r="L2173"/>
    </row>
    <row r="2174" spans="12:12" x14ac:dyDescent="0.25">
      <c r="L2174"/>
    </row>
    <row r="2175" spans="12:12" x14ac:dyDescent="0.25">
      <c r="L2175"/>
    </row>
    <row r="2176" spans="12:12" x14ac:dyDescent="0.25">
      <c r="L2176"/>
    </row>
    <row r="2177" spans="12:12" x14ac:dyDescent="0.25">
      <c r="L2177"/>
    </row>
    <row r="2178" spans="12:12" x14ac:dyDescent="0.25">
      <c r="L2178"/>
    </row>
    <row r="2179" spans="12:12" x14ac:dyDescent="0.25">
      <c r="L2179"/>
    </row>
    <row r="2180" spans="12:12" x14ac:dyDescent="0.25">
      <c r="L2180"/>
    </row>
    <row r="2181" spans="12:12" x14ac:dyDescent="0.25">
      <c r="L2181"/>
    </row>
    <row r="2182" spans="12:12" x14ac:dyDescent="0.25">
      <c r="L2182"/>
    </row>
    <row r="2183" spans="12:12" x14ac:dyDescent="0.25">
      <c r="L2183"/>
    </row>
    <row r="2184" spans="12:12" x14ac:dyDescent="0.25">
      <c r="L2184"/>
    </row>
    <row r="2185" spans="12:12" x14ac:dyDescent="0.25">
      <c r="L2185"/>
    </row>
    <row r="2186" spans="12:12" x14ac:dyDescent="0.25">
      <c r="L2186"/>
    </row>
    <row r="2187" spans="12:12" x14ac:dyDescent="0.25">
      <c r="L2187"/>
    </row>
    <row r="2188" spans="12:12" x14ac:dyDescent="0.25">
      <c r="L2188"/>
    </row>
    <row r="2189" spans="12:12" x14ac:dyDescent="0.25">
      <c r="L2189"/>
    </row>
    <row r="2190" spans="12:12" x14ac:dyDescent="0.25">
      <c r="L2190"/>
    </row>
    <row r="2191" spans="12:12" x14ac:dyDescent="0.25">
      <c r="L2191"/>
    </row>
    <row r="2192" spans="12:12" x14ac:dyDescent="0.25">
      <c r="L2192"/>
    </row>
    <row r="2193" spans="12:12" x14ac:dyDescent="0.25">
      <c r="L2193"/>
    </row>
    <row r="2194" spans="12:12" x14ac:dyDescent="0.25">
      <c r="L2194"/>
    </row>
    <row r="2195" spans="12:12" x14ac:dyDescent="0.25">
      <c r="L2195"/>
    </row>
    <row r="2196" spans="12:12" x14ac:dyDescent="0.25">
      <c r="L2196"/>
    </row>
    <row r="2197" spans="12:12" x14ac:dyDescent="0.25">
      <c r="L2197"/>
    </row>
    <row r="2198" spans="12:12" x14ac:dyDescent="0.25">
      <c r="L2198"/>
    </row>
    <row r="2199" spans="12:12" x14ac:dyDescent="0.25">
      <c r="L2199"/>
    </row>
    <row r="2200" spans="12:12" x14ac:dyDescent="0.25">
      <c r="L2200"/>
    </row>
    <row r="2201" spans="12:12" x14ac:dyDescent="0.25">
      <c r="L2201"/>
    </row>
    <row r="2202" spans="12:12" x14ac:dyDescent="0.25">
      <c r="L2202"/>
    </row>
    <row r="2203" spans="12:12" x14ac:dyDescent="0.25">
      <c r="L2203"/>
    </row>
    <row r="2204" spans="12:12" x14ac:dyDescent="0.25">
      <c r="L2204"/>
    </row>
    <row r="2205" spans="12:12" x14ac:dyDescent="0.25">
      <c r="L2205"/>
    </row>
    <row r="2206" spans="12:12" x14ac:dyDescent="0.25">
      <c r="L2206"/>
    </row>
    <row r="2207" spans="12:12" x14ac:dyDescent="0.25">
      <c r="L2207"/>
    </row>
    <row r="2208" spans="12:12" x14ac:dyDescent="0.25">
      <c r="L2208"/>
    </row>
    <row r="2209" spans="12:12" x14ac:dyDescent="0.25">
      <c r="L2209"/>
    </row>
    <row r="2210" spans="12:12" x14ac:dyDescent="0.25">
      <c r="L2210"/>
    </row>
    <row r="2211" spans="12:12" x14ac:dyDescent="0.25">
      <c r="L2211"/>
    </row>
    <row r="2212" spans="12:12" x14ac:dyDescent="0.25">
      <c r="L2212"/>
    </row>
    <row r="2213" spans="12:12" x14ac:dyDescent="0.25">
      <c r="L2213"/>
    </row>
    <row r="2214" spans="12:12" x14ac:dyDescent="0.25">
      <c r="L2214"/>
    </row>
    <row r="2215" spans="12:12" x14ac:dyDescent="0.25">
      <c r="L2215"/>
    </row>
    <row r="2216" spans="12:12" x14ac:dyDescent="0.25">
      <c r="L2216"/>
    </row>
    <row r="2217" spans="12:12" x14ac:dyDescent="0.25">
      <c r="L2217"/>
    </row>
    <row r="2218" spans="12:12" x14ac:dyDescent="0.25">
      <c r="L2218"/>
    </row>
    <row r="2219" spans="12:12" x14ac:dyDescent="0.25">
      <c r="L2219"/>
    </row>
    <row r="2220" spans="12:12" x14ac:dyDescent="0.25">
      <c r="L2220"/>
    </row>
    <row r="2221" spans="12:12" x14ac:dyDescent="0.25">
      <c r="L2221"/>
    </row>
    <row r="2222" spans="12:12" x14ac:dyDescent="0.25">
      <c r="L2222"/>
    </row>
    <row r="2223" spans="12:12" x14ac:dyDescent="0.25">
      <c r="L2223"/>
    </row>
    <row r="2224" spans="12:12" x14ac:dyDescent="0.25">
      <c r="L2224"/>
    </row>
    <row r="2225" spans="12:12" x14ac:dyDescent="0.25">
      <c r="L2225"/>
    </row>
    <row r="2226" spans="12:12" x14ac:dyDescent="0.25">
      <c r="L2226"/>
    </row>
    <row r="2227" spans="12:12" x14ac:dyDescent="0.25">
      <c r="L2227"/>
    </row>
    <row r="2228" spans="12:12" x14ac:dyDescent="0.25">
      <c r="L2228"/>
    </row>
    <row r="2229" spans="12:12" x14ac:dyDescent="0.25">
      <c r="L2229"/>
    </row>
    <row r="2230" spans="12:12" x14ac:dyDescent="0.25">
      <c r="L2230"/>
    </row>
    <row r="2231" spans="12:12" x14ac:dyDescent="0.25">
      <c r="L2231"/>
    </row>
    <row r="2232" spans="12:12" x14ac:dyDescent="0.25">
      <c r="L2232"/>
    </row>
    <row r="2233" spans="12:12" x14ac:dyDescent="0.25">
      <c r="L2233"/>
    </row>
    <row r="2234" spans="12:12" x14ac:dyDescent="0.25">
      <c r="L2234"/>
    </row>
    <row r="2235" spans="12:12" x14ac:dyDescent="0.25">
      <c r="L2235"/>
    </row>
    <row r="2236" spans="12:12" x14ac:dyDescent="0.25">
      <c r="L2236"/>
    </row>
    <row r="2237" spans="12:12" x14ac:dyDescent="0.25">
      <c r="L2237"/>
    </row>
    <row r="2238" spans="12:12" x14ac:dyDescent="0.25">
      <c r="L2238"/>
    </row>
    <row r="2239" spans="12:12" x14ac:dyDescent="0.25">
      <c r="L2239"/>
    </row>
    <row r="2240" spans="12:12" x14ac:dyDescent="0.25">
      <c r="L2240"/>
    </row>
    <row r="2241" spans="12:12" x14ac:dyDescent="0.25">
      <c r="L2241"/>
    </row>
    <row r="2242" spans="12:12" x14ac:dyDescent="0.25">
      <c r="L2242"/>
    </row>
    <row r="2243" spans="12:12" x14ac:dyDescent="0.25">
      <c r="L2243"/>
    </row>
    <row r="2244" spans="12:12" x14ac:dyDescent="0.25">
      <c r="L2244"/>
    </row>
    <row r="2245" spans="12:12" x14ac:dyDescent="0.25">
      <c r="L2245"/>
    </row>
    <row r="2246" spans="12:12" x14ac:dyDescent="0.25">
      <c r="L2246"/>
    </row>
    <row r="2247" spans="12:12" x14ac:dyDescent="0.25">
      <c r="L2247"/>
    </row>
    <row r="2248" spans="12:12" x14ac:dyDescent="0.25">
      <c r="L2248"/>
    </row>
    <row r="2249" spans="12:12" x14ac:dyDescent="0.25">
      <c r="L2249"/>
    </row>
    <row r="2250" spans="12:12" x14ac:dyDescent="0.25">
      <c r="L2250"/>
    </row>
    <row r="2251" spans="12:12" x14ac:dyDescent="0.25">
      <c r="L2251"/>
    </row>
    <row r="2252" spans="12:12" x14ac:dyDescent="0.25">
      <c r="L2252"/>
    </row>
    <row r="2253" spans="12:12" x14ac:dyDescent="0.25">
      <c r="L2253"/>
    </row>
    <row r="2254" spans="12:12" x14ac:dyDescent="0.25">
      <c r="L2254"/>
    </row>
    <row r="2255" spans="12:12" x14ac:dyDescent="0.25">
      <c r="L2255"/>
    </row>
    <row r="2256" spans="12:12" x14ac:dyDescent="0.25">
      <c r="L2256"/>
    </row>
    <row r="2257" spans="12:12" x14ac:dyDescent="0.25">
      <c r="L2257"/>
    </row>
    <row r="2258" spans="12:12" x14ac:dyDescent="0.25">
      <c r="L2258"/>
    </row>
    <row r="2259" spans="12:12" x14ac:dyDescent="0.25">
      <c r="L2259"/>
    </row>
    <row r="2260" spans="12:12" x14ac:dyDescent="0.25">
      <c r="L2260"/>
    </row>
    <row r="2261" spans="12:12" x14ac:dyDescent="0.25">
      <c r="L2261"/>
    </row>
    <row r="2262" spans="12:12" x14ac:dyDescent="0.25">
      <c r="L2262"/>
    </row>
    <row r="2263" spans="12:12" x14ac:dyDescent="0.25">
      <c r="L2263"/>
    </row>
    <row r="2264" spans="12:12" x14ac:dyDescent="0.25">
      <c r="L2264"/>
    </row>
    <row r="2265" spans="12:12" x14ac:dyDescent="0.25">
      <c r="L2265"/>
    </row>
    <row r="2266" spans="12:12" x14ac:dyDescent="0.25">
      <c r="L2266"/>
    </row>
    <row r="2267" spans="12:12" x14ac:dyDescent="0.25">
      <c r="L2267"/>
    </row>
    <row r="2268" spans="12:12" x14ac:dyDescent="0.25">
      <c r="L2268"/>
    </row>
    <row r="2269" spans="12:12" x14ac:dyDescent="0.25">
      <c r="L2269"/>
    </row>
    <row r="2270" spans="12:12" x14ac:dyDescent="0.25">
      <c r="L2270"/>
    </row>
    <row r="2271" spans="12:12" x14ac:dyDescent="0.25">
      <c r="L2271"/>
    </row>
    <row r="2272" spans="12:12" x14ac:dyDescent="0.25">
      <c r="L2272"/>
    </row>
    <row r="2273" spans="12:12" x14ac:dyDescent="0.25">
      <c r="L2273"/>
    </row>
    <row r="2274" spans="12:12" x14ac:dyDescent="0.25">
      <c r="L2274"/>
    </row>
    <row r="2275" spans="12:12" x14ac:dyDescent="0.25">
      <c r="L2275"/>
    </row>
    <row r="2276" spans="12:12" x14ac:dyDescent="0.25">
      <c r="L2276"/>
    </row>
    <row r="2277" spans="12:12" x14ac:dyDescent="0.25">
      <c r="L2277"/>
    </row>
    <row r="2278" spans="12:12" x14ac:dyDescent="0.25">
      <c r="L2278"/>
    </row>
    <row r="2279" spans="12:12" x14ac:dyDescent="0.25">
      <c r="L2279"/>
    </row>
    <row r="2280" spans="12:12" x14ac:dyDescent="0.25">
      <c r="L2280"/>
    </row>
    <row r="2281" spans="12:12" x14ac:dyDescent="0.25">
      <c r="L2281"/>
    </row>
    <row r="2282" spans="12:12" x14ac:dyDescent="0.25">
      <c r="L2282"/>
    </row>
    <row r="2283" spans="12:12" x14ac:dyDescent="0.25">
      <c r="L2283"/>
    </row>
    <row r="2284" spans="12:12" x14ac:dyDescent="0.25">
      <c r="L2284"/>
    </row>
    <row r="2285" spans="12:12" x14ac:dyDescent="0.25">
      <c r="L2285"/>
    </row>
    <row r="2286" spans="12:12" x14ac:dyDescent="0.25">
      <c r="L2286"/>
    </row>
    <row r="2287" spans="12:12" x14ac:dyDescent="0.25">
      <c r="L2287"/>
    </row>
    <row r="2288" spans="12:12" x14ac:dyDescent="0.25">
      <c r="L2288"/>
    </row>
    <row r="2289" spans="12:12" x14ac:dyDescent="0.25">
      <c r="L2289"/>
    </row>
    <row r="2290" spans="12:12" x14ac:dyDescent="0.25">
      <c r="L2290"/>
    </row>
    <row r="2291" spans="12:12" x14ac:dyDescent="0.25">
      <c r="L2291"/>
    </row>
    <row r="2292" spans="12:12" x14ac:dyDescent="0.25">
      <c r="L2292"/>
    </row>
    <row r="2293" spans="12:12" x14ac:dyDescent="0.25">
      <c r="L2293"/>
    </row>
    <row r="2294" spans="12:12" x14ac:dyDescent="0.25">
      <c r="L2294"/>
    </row>
    <row r="2295" spans="12:12" x14ac:dyDescent="0.25">
      <c r="L2295"/>
    </row>
    <row r="2296" spans="12:12" x14ac:dyDescent="0.25">
      <c r="L2296"/>
    </row>
    <row r="2297" spans="12:12" x14ac:dyDescent="0.25">
      <c r="L2297"/>
    </row>
    <row r="2298" spans="12:12" x14ac:dyDescent="0.25">
      <c r="L2298"/>
    </row>
    <row r="2299" spans="12:12" x14ac:dyDescent="0.25">
      <c r="L2299"/>
    </row>
    <row r="2300" spans="12:12" x14ac:dyDescent="0.25">
      <c r="L2300"/>
    </row>
    <row r="2301" spans="12:12" x14ac:dyDescent="0.25">
      <c r="L2301"/>
    </row>
    <row r="2302" spans="12:12" x14ac:dyDescent="0.25">
      <c r="L2302"/>
    </row>
    <row r="2303" spans="12:12" x14ac:dyDescent="0.25">
      <c r="L2303"/>
    </row>
    <row r="2304" spans="12:12" x14ac:dyDescent="0.25">
      <c r="L2304"/>
    </row>
    <row r="2305" spans="12:12" x14ac:dyDescent="0.25">
      <c r="L2305"/>
    </row>
    <row r="2306" spans="12:12" x14ac:dyDescent="0.25">
      <c r="L2306"/>
    </row>
    <row r="2307" spans="12:12" x14ac:dyDescent="0.25">
      <c r="L2307"/>
    </row>
    <row r="2308" spans="12:12" x14ac:dyDescent="0.25">
      <c r="L2308"/>
    </row>
    <row r="2309" spans="12:12" x14ac:dyDescent="0.25">
      <c r="L2309"/>
    </row>
    <row r="2310" spans="12:12" x14ac:dyDescent="0.25">
      <c r="L2310"/>
    </row>
    <row r="2311" spans="12:12" x14ac:dyDescent="0.25">
      <c r="L2311"/>
    </row>
    <row r="2312" spans="12:12" x14ac:dyDescent="0.25">
      <c r="L2312"/>
    </row>
    <row r="2313" spans="12:12" x14ac:dyDescent="0.25">
      <c r="L2313"/>
    </row>
    <row r="2314" spans="12:12" x14ac:dyDescent="0.25">
      <c r="L2314"/>
    </row>
    <row r="2315" spans="12:12" x14ac:dyDescent="0.25">
      <c r="L2315"/>
    </row>
    <row r="2316" spans="12:12" x14ac:dyDescent="0.25">
      <c r="L2316"/>
    </row>
    <row r="2317" spans="12:12" x14ac:dyDescent="0.25">
      <c r="L2317"/>
    </row>
    <row r="2318" spans="12:12" x14ac:dyDescent="0.25">
      <c r="L2318"/>
    </row>
    <row r="2319" spans="12:12" x14ac:dyDescent="0.25">
      <c r="L2319"/>
    </row>
    <row r="2320" spans="12:12" x14ac:dyDescent="0.25">
      <c r="L2320"/>
    </row>
    <row r="2321" spans="12:12" x14ac:dyDescent="0.25">
      <c r="L2321"/>
    </row>
    <row r="2322" spans="12:12" x14ac:dyDescent="0.25">
      <c r="L2322"/>
    </row>
    <row r="2323" spans="12:12" x14ac:dyDescent="0.25">
      <c r="L2323"/>
    </row>
    <row r="2324" spans="12:12" x14ac:dyDescent="0.25">
      <c r="L2324"/>
    </row>
    <row r="2325" spans="12:12" x14ac:dyDescent="0.25">
      <c r="L2325"/>
    </row>
    <row r="2326" spans="12:12" x14ac:dyDescent="0.25">
      <c r="L2326"/>
    </row>
    <row r="2327" spans="12:12" x14ac:dyDescent="0.25">
      <c r="L2327"/>
    </row>
    <row r="2328" spans="12:12" x14ac:dyDescent="0.25">
      <c r="L2328"/>
    </row>
    <row r="2329" spans="12:12" x14ac:dyDescent="0.25">
      <c r="L2329"/>
    </row>
    <row r="2330" spans="12:12" x14ac:dyDescent="0.25">
      <c r="L2330"/>
    </row>
    <row r="2331" spans="12:12" x14ac:dyDescent="0.25">
      <c r="L2331"/>
    </row>
    <row r="2332" spans="12:12" x14ac:dyDescent="0.25">
      <c r="L2332"/>
    </row>
    <row r="2333" spans="12:12" x14ac:dyDescent="0.25">
      <c r="L2333"/>
    </row>
    <row r="2334" spans="12:12" x14ac:dyDescent="0.25">
      <c r="L2334"/>
    </row>
    <row r="2335" spans="12:12" x14ac:dyDescent="0.25">
      <c r="L2335"/>
    </row>
    <row r="2336" spans="12:12" x14ac:dyDescent="0.25">
      <c r="L2336"/>
    </row>
    <row r="2337" spans="12:12" x14ac:dyDescent="0.25">
      <c r="L2337"/>
    </row>
    <row r="2338" spans="12:12" x14ac:dyDescent="0.25">
      <c r="L2338"/>
    </row>
    <row r="2339" spans="12:12" x14ac:dyDescent="0.25">
      <c r="L2339"/>
    </row>
    <row r="2340" spans="12:12" x14ac:dyDescent="0.25">
      <c r="L2340"/>
    </row>
    <row r="2341" spans="12:12" x14ac:dyDescent="0.25">
      <c r="L2341"/>
    </row>
    <row r="2342" spans="12:12" x14ac:dyDescent="0.25">
      <c r="L2342"/>
    </row>
    <row r="2343" spans="12:12" x14ac:dyDescent="0.25">
      <c r="L2343"/>
    </row>
    <row r="2344" spans="12:12" x14ac:dyDescent="0.25">
      <c r="L2344"/>
    </row>
    <row r="2345" spans="12:12" x14ac:dyDescent="0.25">
      <c r="L2345"/>
    </row>
    <row r="2346" spans="12:12" x14ac:dyDescent="0.25">
      <c r="L2346"/>
    </row>
    <row r="2347" spans="12:12" x14ac:dyDescent="0.25">
      <c r="L2347"/>
    </row>
    <row r="2348" spans="12:12" x14ac:dyDescent="0.25">
      <c r="L2348"/>
    </row>
    <row r="2349" spans="12:12" x14ac:dyDescent="0.25">
      <c r="L2349"/>
    </row>
    <row r="2350" spans="12:12" x14ac:dyDescent="0.25">
      <c r="L2350"/>
    </row>
    <row r="2351" spans="12:12" x14ac:dyDescent="0.25">
      <c r="L2351"/>
    </row>
    <row r="2352" spans="12:12" x14ac:dyDescent="0.25">
      <c r="L2352"/>
    </row>
    <row r="2353" spans="12:12" x14ac:dyDescent="0.25">
      <c r="L2353"/>
    </row>
    <row r="2354" spans="12:12" x14ac:dyDescent="0.25">
      <c r="L2354"/>
    </row>
    <row r="2355" spans="12:12" x14ac:dyDescent="0.25">
      <c r="L2355"/>
    </row>
    <row r="2356" spans="12:12" x14ac:dyDescent="0.25">
      <c r="L2356"/>
    </row>
    <row r="2357" spans="12:12" x14ac:dyDescent="0.25">
      <c r="L2357"/>
    </row>
    <row r="2358" spans="12:12" x14ac:dyDescent="0.25">
      <c r="L2358"/>
    </row>
    <row r="2359" spans="12:12" x14ac:dyDescent="0.25">
      <c r="L2359"/>
    </row>
    <row r="2360" spans="12:12" x14ac:dyDescent="0.25">
      <c r="L2360"/>
    </row>
    <row r="2361" spans="12:12" x14ac:dyDescent="0.25">
      <c r="L2361"/>
    </row>
    <row r="2362" spans="12:12" x14ac:dyDescent="0.25">
      <c r="L2362"/>
    </row>
    <row r="2363" spans="12:12" x14ac:dyDescent="0.25">
      <c r="L2363"/>
    </row>
    <row r="2364" spans="12:12" x14ac:dyDescent="0.25">
      <c r="L2364"/>
    </row>
    <row r="2365" spans="12:12" x14ac:dyDescent="0.25">
      <c r="L2365"/>
    </row>
    <row r="2366" spans="12:12" x14ac:dyDescent="0.25">
      <c r="L2366"/>
    </row>
    <row r="2367" spans="12:12" x14ac:dyDescent="0.25">
      <c r="L2367"/>
    </row>
    <row r="2368" spans="12:12" x14ac:dyDescent="0.25">
      <c r="L2368"/>
    </row>
    <row r="2369" spans="12:12" x14ac:dyDescent="0.25">
      <c r="L2369"/>
    </row>
    <row r="2370" spans="12:12" x14ac:dyDescent="0.25">
      <c r="L2370"/>
    </row>
    <row r="2371" spans="12:12" x14ac:dyDescent="0.25">
      <c r="L2371"/>
    </row>
    <row r="2372" spans="12:12" x14ac:dyDescent="0.25">
      <c r="L2372"/>
    </row>
    <row r="2373" spans="12:12" x14ac:dyDescent="0.25">
      <c r="L2373"/>
    </row>
    <row r="2374" spans="12:12" x14ac:dyDescent="0.25">
      <c r="L2374"/>
    </row>
    <row r="2375" spans="12:12" x14ac:dyDescent="0.25">
      <c r="L2375"/>
    </row>
    <row r="2376" spans="12:12" x14ac:dyDescent="0.25">
      <c r="L2376"/>
    </row>
    <row r="2377" spans="12:12" x14ac:dyDescent="0.25">
      <c r="L2377"/>
    </row>
    <row r="2378" spans="12:12" x14ac:dyDescent="0.25">
      <c r="L2378"/>
    </row>
    <row r="2379" spans="12:12" x14ac:dyDescent="0.25">
      <c r="L2379"/>
    </row>
    <row r="2380" spans="12:12" x14ac:dyDescent="0.25">
      <c r="L2380"/>
    </row>
    <row r="2381" spans="12:12" x14ac:dyDescent="0.25">
      <c r="L2381"/>
    </row>
    <row r="2382" spans="12:12" x14ac:dyDescent="0.25">
      <c r="L2382"/>
    </row>
    <row r="2383" spans="12:12" x14ac:dyDescent="0.25">
      <c r="L2383"/>
    </row>
    <row r="2384" spans="12:12" x14ac:dyDescent="0.25">
      <c r="L2384"/>
    </row>
    <row r="2385" spans="12:12" x14ac:dyDescent="0.25">
      <c r="L2385"/>
    </row>
    <row r="2386" spans="12:12" x14ac:dyDescent="0.25">
      <c r="L2386"/>
    </row>
    <row r="2387" spans="12:12" x14ac:dyDescent="0.25">
      <c r="L2387"/>
    </row>
    <row r="2388" spans="12:12" x14ac:dyDescent="0.25">
      <c r="L2388"/>
    </row>
    <row r="2389" spans="12:12" x14ac:dyDescent="0.25">
      <c r="L2389"/>
    </row>
    <row r="2390" spans="12:12" x14ac:dyDescent="0.25">
      <c r="L2390"/>
    </row>
    <row r="2391" spans="12:12" x14ac:dyDescent="0.25">
      <c r="L2391"/>
    </row>
    <row r="2392" spans="12:12" x14ac:dyDescent="0.25">
      <c r="L2392"/>
    </row>
    <row r="2393" spans="12:12" x14ac:dyDescent="0.25">
      <c r="L2393"/>
    </row>
    <row r="2394" spans="12:12" x14ac:dyDescent="0.25">
      <c r="L2394"/>
    </row>
    <row r="2395" spans="12:12" x14ac:dyDescent="0.25">
      <c r="L2395"/>
    </row>
    <row r="2396" spans="12:12" x14ac:dyDescent="0.25">
      <c r="L2396"/>
    </row>
    <row r="2397" spans="12:12" x14ac:dyDescent="0.25">
      <c r="L2397"/>
    </row>
    <row r="2398" spans="12:12" x14ac:dyDescent="0.25">
      <c r="L2398"/>
    </row>
    <row r="2399" spans="12:12" x14ac:dyDescent="0.25">
      <c r="L2399"/>
    </row>
    <row r="2400" spans="12:12" x14ac:dyDescent="0.25">
      <c r="L2400"/>
    </row>
    <row r="2401" spans="12:12" x14ac:dyDescent="0.25">
      <c r="L2401"/>
    </row>
    <row r="2402" spans="12:12" x14ac:dyDescent="0.25">
      <c r="L2402"/>
    </row>
    <row r="2403" spans="12:12" x14ac:dyDescent="0.25">
      <c r="L2403"/>
    </row>
    <row r="2404" spans="12:12" x14ac:dyDescent="0.25">
      <c r="L2404"/>
    </row>
    <row r="2405" spans="12:12" x14ac:dyDescent="0.25">
      <c r="L2405"/>
    </row>
    <row r="2406" spans="12:12" x14ac:dyDescent="0.25">
      <c r="L2406"/>
    </row>
    <row r="2407" spans="12:12" x14ac:dyDescent="0.25">
      <c r="L2407"/>
    </row>
    <row r="2408" spans="12:12" x14ac:dyDescent="0.25">
      <c r="L2408"/>
    </row>
    <row r="2409" spans="12:12" x14ac:dyDescent="0.25">
      <c r="L2409"/>
    </row>
    <row r="2410" spans="12:12" x14ac:dyDescent="0.25">
      <c r="L2410"/>
    </row>
    <row r="2411" spans="12:12" x14ac:dyDescent="0.25">
      <c r="L2411"/>
    </row>
    <row r="2412" spans="12:12" x14ac:dyDescent="0.25">
      <c r="L2412"/>
    </row>
    <row r="2413" spans="12:12" x14ac:dyDescent="0.25">
      <c r="L2413"/>
    </row>
    <row r="2414" spans="12:12" x14ac:dyDescent="0.25">
      <c r="L2414"/>
    </row>
    <row r="2415" spans="12:12" x14ac:dyDescent="0.25">
      <c r="L2415"/>
    </row>
    <row r="2416" spans="12:12" x14ac:dyDescent="0.25">
      <c r="L2416"/>
    </row>
    <row r="2417" spans="12:12" x14ac:dyDescent="0.25">
      <c r="L2417"/>
    </row>
    <row r="2418" spans="12:12" x14ac:dyDescent="0.25">
      <c r="L2418"/>
    </row>
    <row r="2419" spans="12:12" x14ac:dyDescent="0.25">
      <c r="L2419"/>
    </row>
    <row r="2420" spans="12:12" x14ac:dyDescent="0.25">
      <c r="L2420"/>
    </row>
    <row r="2421" spans="12:12" x14ac:dyDescent="0.25">
      <c r="L2421"/>
    </row>
    <row r="2422" spans="12:12" x14ac:dyDescent="0.25">
      <c r="L2422"/>
    </row>
    <row r="2423" spans="12:12" x14ac:dyDescent="0.25">
      <c r="L2423"/>
    </row>
    <row r="2424" spans="12:12" x14ac:dyDescent="0.25">
      <c r="L2424"/>
    </row>
    <row r="2425" spans="12:12" x14ac:dyDescent="0.25">
      <c r="L2425"/>
    </row>
    <row r="2426" spans="12:12" x14ac:dyDescent="0.25">
      <c r="L2426"/>
    </row>
    <row r="2427" spans="12:12" x14ac:dyDescent="0.25">
      <c r="L2427"/>
    </row>
    <row r="2428" spans="12:12" x14ac:dyDescent="0.25">
      <c r="L2428"/>
    </row>
    <row r="2429" spans="12:12" x14ac:dyDescent="0.25">
      <c r="L2429"/>
    </row>
    <row r="2430" spans="12:12" x14ac:dyDescent="0.25">
      <c r="L2430"/>
    </row>
    <row r="2431" spans="12:12" x14ac:dyDescent="0.25">
      <c r="L2431"/>
    </row>
    <row r="2432" spans="12:12" x14ac:dyDescent="0.25">
      <c r="L2432"/>
    </row>
    <row r="2433" spans="12:12" x14ac:dyDescent="0.25">
      <c r="L2433"/>
    </row>
    <row r="2434" spans="12:12" x14ac:dyDescent="0.25">
      <c r="L2434"/>
    </row>
    <row r="2435" spans="12:12" x14ac:dyDescent="0.25">
      <c r="L2435"/>
    </row>
    <row r="2436" spans="12:12" x14ac:dyDescent="0.25">
      <c r="L2436"/>
    </row>
    <row r="2437" spans="12:12" x14ac:dyDescent="0.25">
      <c r="L2437"/>
    </row>
    <row r="2438" spans="12:12" x14ac:dyDescent="0.25">
      <c r="L2438"/>
    </row>
    <row r="2439" spans="12:12" x14ac:dyDescent="0.25">
      <c r="L2439"/>
    </row>
    <row r="2440" spans="12:12" x14ac:dyDescent="0.25">
      <c r="L2440"/>
    </row>
    <row r="2441" spans="12:12" x14ac:dyDescent="0.25">
      <c r="L2441"/>
    </row>
    <row r="2442" spans="12:12" x14ac:dyDescent="0.25">
      <c r="L2442"/>
    </row>
    <row r="2443" spans="12:12" x14ac:dyDescent="0.25">
      <c r="L2443"/>
    </row>
    <row r="2444" spans="12:12" x14ac:dyDescent="0.25">
      <c r="L2444"/>
    </row>
    <row r="2445" spans="12:12" x14ac:dyDescent="0.25">
      <c r="L2445"/>
    </row>
    <row r="2446" spans="12:12" x14ac:dyDescent="0.25">
      <c r="L2446"/>
    </row>
    <row r="2447" spans="12:12" x14ac:dyDescent="0.25">
      <c r="L2447"/>
    </row>
    <row r="2448" spans="12:12" x14ac:dyDescent="0.25">
      <c r="L2448"/>
    </row>
    <row r="2449" spans="12:12" x14ac:dyDescent="0.25">
      <c r="L2449"/>
    </row>
    <row r="2450" spans="12:12" x14ac:dyDescent="0.25">
      <c r="L2450"/>
    </row>
    <row r="2451" spans="12:12" x14ac:dyDescent="0.25">
      <c r="L2451"/>
    </row>
    <row r="2452" spans="12:12" x14ac:dyDescent="0.25">
      <c r="L2452"/>
    </row>
    <row r="2453" spans="12:12" x14ac:dyDescent="0.25">
      <c r="L2453"/>
    </row>
    <row r="2454" spans="12:12" x14ac:dyDescent="0.25">
      <c r="L2454"/>
    </row>
    <row r="2455" spans="12:12" x14ac:dyDescent="0.25">
      <c r="L2455"/>
    </row>
    <row r="2456" spans="12:12" x14ac:dyDescent="0.25">
      <c r="L2456"/>
    </row>
    <row r="2457" spans="12:12" x14ac:dyDescent="0.25">
      <c r="L2457"/>
    </row>
    <row r="2458" spans="12:12" x14ac:dyDescent="0.25">
      <c r="L2458"/>
    </row>
    <row r="2459" spans="12:12" x14ac:dyDescent="0.25">
      <c r="L2459"/>
    </row>
    <row r="2460" spans="12:12" x14ac:dyDescent="0.25">
      <c r="L2460"/>
    </row>
    <row r="2461" spans="12:12" x14ac:dyDescent="0.25">
      <c r="L2461"/>
    </row>
    <row r="2462" spans="12:12" x14ac:dyDescent="0.25">
      <c r="L2462"/>
    </row>
    <row r="2463" spans="12:12" x14ac:dyDescent="0.25">
      <c r="L2463"/>
    </row>
    <row r="2464" spans="12:12" x14ac:dyDescent="0.25">
      <c r="L2464"/>
    </row>
    <row r="2465" spans="12:12" x14ac:dyDescent="0.25">
      <c r="L2465"/>
    </row>
    <row r="2466" spans="12:12" x14ac:dyDescent="0.25">
      <c r="L2466"/>
    </row>
    <row r="2467" spans="12:12" x14ac:dyDescent="0.25">
      <c r="L2467"/>
    </row>
    <row r="2468" spans="12:12" x14ac:dyDescent="0.25">
      <c r="L2468"/>
    </row>
    <row r="2469" spans="12:12" x14ac:dyDescent="0.25">
      <c r="L2469"/>
    </row>
    <row r="2470" spans="12:12" x14ac:dyDescent="0.25">
      <c r="L2470"/>
    </row>
    <row r="2471" spans="12:12" x14ac:dyDescent="0.25">
      <c r="L2471"/>
    </row>
    <row r="2472" spans="12:12" x14ac:dyDescent="0.25">
      <c r="L2472"/>
    </row>
    <row r="2473" spans="12:12" x14ac:dyDescent="0.25">
      <c r="L2473"/>
    </row>
    <row r="2474" spans="12:12" x14ac:dyDescent="0.25">
      <c r="L2474"/>
    </row>
    <row r="2475" spans="12:12" x14ac:dyDescent="0.25">
      <c r="L2475"/>
    </row>
    <row r="2476" spans="12:12" x14ac:dyDescent="0.25">
      <c r="L2476"/>
    </row>
    <row r="2477" spans="12:12" x14ac:dyDescent="0.25">
      <c r="L2477"/>
    </row>
    <row r="2478" spans="12:12" x14ac:dyDescent="0.25">
      <c r="L2478"/>
    </row>
    <row r="2479" spans="12:12" x14ac:dyDescent="0.25">
      <c r="L2479"/>
    </row>
    <row r="2480" spans="12:12" x14ac:dyDescent="0.25">
      <c r="L2480"/>
    </row>
    <row r="2481" spans="12:12" x14ac:dyDescent="0.25">
      <c r="L2481"/>
    </row>
    <row r="2482" spans="12:12" x14ac:dyDescent="0.25">
      <c r="L2482"/>
    </row>
    <row r="2483" spans="12:12" x14ac:dyDescent="0.25">
      <c r="L2483"/>
    </row>
    <row r="2484" spans="12:12" x14ac:dyDescent="0.25">
      <c r="L2484"/>
    </row>
    <row r="2485" spans="12:12" x14ac:dyDescent="0.25">
      <c r="L2485"/>
    </row>
    <row r="2486" spans="12:12" x14ac:dyDescent="0.25">
      <c r="L2486"/>
    </row>
    <row r="2487" spans="12:12" x14ac:dyDescent="0.25">
      <c r="L2487"/>
    </row>
    <row r="2488" spans="12:12" x14ac:dyDescent="0.25">
      <c r="L2488"/>
    </row>
    <row r="2489" spans="12:12" x14ac:dyDescent="0.25">
      <c r="L2489"/>
    </row>
    <row r="2490" spans="12:12" x14ac:dyDescent="0.25">
      <c r="L2490"/>
    </row>
    <row r="2491" spans="12:12" x14ac:dyDescent="0.25">
      <c r="L2491"/>
    </row>
    <row r="2492" spans="12:12" x14ac:dyDescent="0.25">
      <c r="L2492"/>
    </row>
    <row r="2493" spans="12:12" x14ac:dyDescent="0.25">
      <c r="L2493"/>
    </row>
    <row r="2494" spans="12:12" x14ac:dyDescent="0.25">
      <c r="L2494"/>
    </row>
    <row r="2495" spans="12:12" x14ac:dyDescent="0.25">
      <c r="L2495"/>
    </row>
    <row r="2496" spans="12:12" x14ac:dyDescent="0.25">
      <c r="L2496"/>
    </row>
    <row r="2497" spans="12:12" x14ac:dyDescent="0.25">
      <c r="L2497"/>
    </row>
    <row r="2498" spans="12:12" x14ac:dyDescent="0.25">
      <c r="L2498"/>
    </row>
    <row r="2499" spans="12:12" x14ac:dyDescent="0.25">
      <c r="L2499"/>
    </row>
    <row r="2500" spans="12:12" x14ac:dyDescent="0.25">
      <c r="L2500"/>
    </row>
    <row r="2501" spans="12:12" x14ac:dyDescent="0.25">
      <c r="L2501"/>
    </row>
    <row r="2502" spans="12:12" x14ac:dyDescent="0.25">
      <c r="L2502"/>
    </row>
    <row r="2503" spans="12:12" x14ac:dyDescent="0.25">
      <c r="L2503"/>
    </row>
    <row r="2504" spans="12:12" x14ac:dyDescent="0.25">
      <c r="L2504"/>
    </row>
    <row r="2505" spans="12:12" x14ac:dyDescent="0.25">
      <c r="L2505"/>
    </row>
    <row r="2506" spans="12:12" x14ac:dyDescent="0.25">
      <c r="L2506"/>
    </row>
    <row r="2507" spans="12:12" x14ac:dyDescent="0.25">
      <c r="L2507"/>
    </row>
    <row r="2508" spans="12:12" x14ac:dyDescent="0.25">
      <c r="L2508"/>
    </row>
    <row r="2509" spans="12:12" x14ac:dyDescent="0.25">
      <c r="L2509"/>
    </row>
    <row r="2510" spans="12:12" x14ac:dyDescent="0.25">
      <c r="L2510"/>
    </row>
    <row r="2511" spans="12:12" x14ac:dyDescent="0.25">
      <c r="L2511"/>
    </row>
    <row r="2512" spans="12:12" x14ac:dyDescent="0.25">
      <c r="L2512"/>
    </row>
    <row r="2513" spans="12:12" x14ac:dyDescent="0.25">
      <c r="L2513"/>
    </row>
    <row r="2514" spans="12:12" x14ac:dyDescent="0.25">
      <c r="L2514"/>
    </row>
    <row r="2515" spans="12:12" x14ac:dyDescent="0.25">
      <c r="L2515"/>
    </row>
    <row r="2516" spans="12:12" x14ac:dyDescent="0.25">
      <c r="L2516"/>
    </row>
    <row r="2517" spans="12:12" x14ac:dyDescent="0.25">
      <c r="L2517"/>
    </row>
    <row r="2518" spans="12:12" x14ac:dyDescent="0.25">
      <c r="L2518"/>
    </row>
    <row r="2519" spans="12:12" x14ac:dyDescent="0.25">
      <c r="L2519"/>
    </row>
    <row r="2520" spans="12:12" x14ac:dyDescent="0.25">
      <c r="L2520"/>
    </row>
    <row r="2521" spans="12:12" x14ac:dyDescent="0.25">
      <c r="L2521"/>
    </row>
    <row r="2522" spans="12:12" x14ac:dyDescent="0.25">
      <c r="L2522"/>
    </row>
    <row r="2523" spans="12:12" x14ac:dyDescent="0.25">
      <c r="L2523"/>
    </row>
    <row r="2524" spans="12:12" x14ac:dyDescent="0.25">
      <c r="L2524"/>
    </row>
    <row r="2525" spans="12:12" x14ac:dyDescent="0.25">
      <c r="L2525"/>
    </row>
    <row r="2526" spans="12:12" x14ac:dyDescent="0.25">
      <c r="L2526"/>
    </row>
    <row r="2527" spans="12:12" x14ac:dyDescent="0.25">
      <c r="L2527"/>
    </row>
    <row r="2528" spans="12:12" x14ac:dyDescent="0.25">
      <c r="L2528"/>
    </row>
    <row r="2529" spans="12:12" x14ac:dyDescent="0.25">
      <c r="L2529"/>
    </row>
    <row r="2530" spans="12:12" x14ac:dyDescent="0.25">
      <c r="L2530"/>
    </row>
    <row r="2531" spans="12:12" x14ac:dyDescent="0.25">
      <c r="L2531"/>
    </row>
    <row r="2532" spans="12:12" x14ac:dyDescent="0.25">
      <c r="L2532"/>
    </row>
    <row r="2533" spans="12:12" x14ac:dyDescent="0.25">
      <c r="L2533"/>
    </row>
    <row r="2534" spans="12:12" x14ac:dyDescent="0.25">
      <c r="L2534"/>
    </row>
    <row r="2535" spans="12:12" x14ac:dyDescent="0.25">
      <c r="L2535"/>
    </row>
    <row r="2536" spans="12:12" x14ac:dyDescent="0.25">
      <c r="L2536"/>
    </row>
    <row r="2537" spans="12:12" x14ac:dyDescent="0.25">
      <c r="L2537"/>
    </row>
    <row r="2538" spans="12:12" x14ac:dyDescent="0.25">
      <c r="L2538"/>
    </row>
    <row r="2539" spans="12:12" x14ac:dyDescent="0.25">
      <c r="L2539"/>
    </row>
    <row r="2540" spans="12:12" x14ac:dyDescent="0.25">
      <c r="L2540"/>
    </row>
    <row r="2541" spans="12:12" x14ac:dyDescent="0.25">
      <c r="L2541"/>
    </row>
    <row r="2542" spans="12:12" x14ac:dyDescent="0.25">
      <c r="L2542"/>
    </row>
    <row r="2543" spans="12:12" x14ac:dyDescent="0.25">
      <c r="L2543"/>
    </row>
    <row r="2544" spans="12:12" x14ac:dyDescent="0.25">
      <c r="L2544"/>
    </row>
    <row r="2545" spans="12:12" x14ac:dyDescent="0.25">
      <c r="L2545"/>
    </row>
    <row r="2546" spans="12:12" x14ac:dyDescent="0.25">
      <c r="L2546"/>
    </row>
    <row r="2547" spans="12:12" x14ac:dyDescent="0.25">
      <c r="L2547"/>
    </row>
    <row r="2548" spans="12:12" x14ac:dyDescent="0.25">
      <c r="L2548"/>
    </row>
    <row r="2549" spans="12:12" x14ac:dyDescent="0.25">
      <c r="L2549"/>
    </row>
    <row r="2550" spans="12:12" x14ac:dyDescent="0.25">
      <c r="L2550"/>
    </row>
    <row r="2551" spans="12:12" x14ac:dyDescent="0.25">
      <c r="L2551"/>
    </row>
    <row r="2552" spans="12:12" x14ac:dyDescent="0.25">
      <c r="L2552"/>
    </row>
    <row r="2553" spans="12:12" x14ac:dyDescent="0.25">
      <c r="L2553"/>
    </row>
    <row r="2554" spans="12:12" x14ac:dyDescent="0.25">
      <c r="L2554"/>
    </row>
    <row r="2555" spans="12:12" x14ac:dyDescent="0.25">
      <c r="L2555"/>
    </row>
    <row r="2556" spans="12:12" x14ac:dyDescent="0.25">
      <c r="L2556"/>
    </row>
    <row r="2557" spans="12:12" x14ac:dyDescent="0.25">
      <c r="L2557"/>
    </row>
    <row r="2558" spans="12:12" x14ac:dyDescent="0.25">
      <c r="L2558"/>
    </row>
    <row r="2559" spans="12:12" x14ac:dyDescent="0.25">
      <c r="L2559"/>
    </row>
    <row r="2560" spans="12:12" x14ac:dyDescent="0.25">
      <c r="L2560"/>
    </row>
    <row r="2561" spans="12:12" x14ac:dyDescent="0.25">
      <c r="L2561"/>
    </row>
    <row r="2562" spans="12:12" x14ac:dyDescent="0.25">
      <c r="L2562"/>
    </row>
    <row r="2563" spans="12:12" x14ac:dyDescent="0.25">
      <c r="L2563"/>
    </row>
    <row r="2564" spans="12:12" x14ac:dyDescent="0.25">
      <c r="L2564"/>
    </row>
    <row r="2565" spans="12:12" x14ac:dyDescent="0.25">
      <c r="L2565"/>
    </row>
    <row r="2566" spans="12:12" x14ac:dyDescent="0.25">
      <c r="L2566"/>
    </row>
    <row r="2567" spans="12:12" x14ac:dyDescent="0.25">
      <c r="L2567"/>
    </row>
    <row r="2568" spans="12:12" x14ac:dyDescent="0.25">
      <c r="L2568"/>
    </row>
    <row r="2569" spans="12:12" x14ac:dyDescent="0.25">
      <c r="L2569"/>
    </row>
    <row r="2570" spans="12:12" x14ac:dyDescent="0.25">
      <c r="L2570"/>
    </row>
    <row r="2571" spans="12:12" x14ac:dyDescent="0.25">
      <c r="L2571"/>
    </row>
    <row r="2572" spans="12:12" x14ac:dyDescent="0.25">
      <c r="L2572"/>
    </row>
    <row r="2573" spans="12:12" x14ac:dyDescent="0.25">
      <c r="L2573"/>
    </row>
    <row r="2574" spans="12:12" x14ac:dyDescent="0.25">
      <c r="L2574"/>
    </row>
    <row r="2575" spans="12:12" x14ac:dyDescent="0.25">
      <c r="L2575"/>
    </row>
    <row r="2576" spans="12:12" x14ac:dyDescent="0.25">
      <c r="L2576"/>
    </row>
    <row r="2577" spans="12:12" x14ac:dyDescent="0.25">
      <c r="L2577"/>
    </row>
    <row r="2578" spans="12:12" x14ac:dyDescent="0.25">
      <c r="L2578"/>
    </row>
    <row r="2579" spans="12:12" x14ac:dyDescent="0.25">
      <c r="L2579"/>
    </row>
    <row r="2580" spans="12:12" x14ac:dyDescent="0.25">
      <c r="L2580"/>
    </row>
    <row r="2581" spans="12:12" x14ac:dyDescent="0.25">
      <c r="L2581"/>
    </row>
    <row r="2582" spans="12:12" x14ac:dyDescent="0.25">
      <c r="L2582"/>
    </row>
    <row r="2583" spans="12:12" x14ac:dyDescent="0.25">
      <c r="L2583"/>
    </row>
    <row r="2584" spans="12:12" x14ac:dyDescent="0.25">
      <c r="L2584"/>
    </row>
    <row r="2585" spans="12:12" x14ac:dyDescent="0.25">
      <c r="L2585"/>
    </row>
    <row r="2586" spans="12:12" x14ac:dyDescent="0.25">
      <c r="L2586"/>
    </row>
    <row r="2587" spans="12:12" x14ac:dyDescent="0.25">
      <c r="L2587"/>
    </row>
    <row r="2588" spans="12:12" x14ac:dyDescent="0.25">
      <c r="L2588"/>
    </row>
    <row r="2589" spans="12:12" x14ac:dyDescent="0.25">
      <c r="L2589"/>
    </row>
    <row r="2590" spans="12:12" x14ac:dyDescent="0.25">
      <c r="L2590"/>
    </row>
    <row r="2591" spans="12:12" x14ac:dyDescent="0.25">
      <c r="L2591"/>
    </row>
    <row r="2592" spans="12:12" x14ac:dyDescent="0.25">
      <c r="L2592"/>
    </row>
    <row r="2593" spans="12:12" x14ac:dyDescent="0.25">
      <c r="L2593"/>
    </row>
    <row r="2594" spans="12:12" x14ac:dyDescent="0.25">
      <c r="L2594"/>
    </row>
    <row r="2595" spans="12:12" x14ac:dyDescent="0.25">
      <c r="L2595"/>
    </row>
    <row r="2596" spans="12:12" x14ac:dyDescent="0.25">
      <c r="L2596"/>
    </row>
    <row r="2597" spans="12:12" x14ac:dyDescent="0.25">
      <c r="L2597"/>
    </row>
    <row r="2598" spans="12:12" x14ac:dyDescent="0.25">
      <c r="L2598"/>
    </row>
    <row r="2599" spans="12:12" x14ac:dyDescent="0.25">
      <c r="L2599"/>
    </row>
    <row r="2600" spans="12:12" x14ac:dyDescent="0.25">
      <c r="L2600"/>
    </row>
    <row r="2601" spans="12:12" x14ac:dyDescent="0.25">
      <c r="L2601"/>
    </row>
    <row r="2602" spans="12:12" x14ac:dyDescent="0.25">
      <c r="L2602"/>
    </row>
    <row r="2603" spans="12:12" x14ac:dyDescent="0.25">
      <c r="L2603"/>
    </row>
    <row r="2604" spans="12:12" x14ac:dyDescent="0.25">
      <c r="L2604"/>
    </row>
    <row r="2605" spans="12:12" x14ac:dyDescent="0.25">
      <c r="L2605"/>
    </row>
    <row r="2606" spans="12:12" x14ac:dyDescent="0.25">
      <c r="L2606"/>
    </row>
    <row r="2607" spans="12:12" x14ac:dyDescent="0.25">
      <c r="L2607"/>
    </row>
    <row r="2608" spans="12:12" x14ac:dyDescent="0.25">
      <c r="L2608"/>
    </row>
    <row r="2609" spans="12:12" x14ac:dyDescent="0.25">
      <c r="L2609"/>
    </row>
    <row r="2610" spans="12:12" x14ac:dyDescent="0.25">
      <c r="L2610"/>
    </row>
    <row r="2611" spans="12:12" x14ac:dyDescent="0.25">
      <c r="L2611"/>
    </row>
    <row r="2612" spans="12:12" x14ac:dyDescent="0.25">
      <c r="L2612"/>
    </row>
    <row r="2613" spans="12:12" x14ac:dyDescent="0.25">
      <c r="L2613"/>
    </row>
    <row r="2614" spans="12:12" x14ac:dyDescent="0.25">
      <c r="L2614"/>
    </row>
    <row r="2615" spans="12:12" x14ac:dyDescent="0.25">
      <c r="L2615"/>
    </row>
    <row r="2616" spans="12:12" x14ac:dyDescent="0.25">
      <c r="L2616"/>
    </row>
    <row r="2617" spans="12:12" x14ac:dyDescent="0.25">
      <c r="L2617"/>
    </row>
    <row r="2618" spans="12:12" x14ac:dyDescent="0.25">
      <c r="L2618"/>
    </row>
    <row r="2619" spans="12:12" x14ac:dyDescent="0.25">
      <c r="L2619"/>
    </row>
    <row r="2620" spans="12:12" x14ac:dyDescent="0.25">
      <c r="L2620"/>
    </row>
    <row r="2621" spans="12:12" x14ac:dyDescent="0.25">
      <c r="L2621"/>
    </row>
    <row r="2622" spans="12:12" x14ac:dyDescent="0.25">
      <c r="L2622"/>
    </row>
    <row r="2623" spans="12:12" x14ac:dyDescent="0.25">
      <c r="L2623"/>
    </row>
    <row r="2624" spans="12:12" x14ac:dyDescent="0.25">
      <c r="L2624"/>
    </row>
    <row r="2625" spans="12:12" x14ac:dyDescent="0.25">
      <c r="L2625"/>
    </row>
    <row r="2626" spans="12:12" x14ac:dyDescent="0.25">
      <c r="L2626"/>
    </row>
    <row r="2627" spans="12:12" x14ac:dyDescent="0.25">
      <c r="L2627"/>
    </row>
    <row r="2628" spans="12:12" x14ac:dyDescent="0.25">
      <c r="L2628"/>
    </row>
    <row r="2629" spans="12:12" x14ac:dyDescent="0.25">
      <c r="L2629"/>
    </row>
    <row r="2630" spans="12:12" x14ac:dyDescent="0.25">
      <c r="L2630"/>
    </row>
    <row r="2631" spans="12:12" x14ac:dyDescent="0.25">
      <c r="L2631"/>
    </row>
    <row r="2632" spans="12:12" x14ac:dyDescent="0.25">
      <c r="L2632"/>
    </row>
    <row r="2633" spans="12:12" x14ac:dyDescent="0.25">
      <c r="L2633"/>
    </row>
    <row r="2634" spans="12:12" x14ac:dyDescent="0.25">
      <c r="L2634"/>
    </row>
    <row r="2635" spans="12:12" x14ac:dyDescent="0.25">
      <c r="L2635"/>
    </row>
    <row r="2636" spans="12:12" x14ac:dyDescent="0.25">
      <c r="L2636"/>
    </row>
    <row r="2637" spans="12:12" x14ac:dyDescent="0.25">
      <c r="L2637"/>
    </row>
    <row r="2638" spans="12:12" x14ac:dyDescent="0.25">
      <c r="L2638"/>
    </row>
    <row r="2639" spans="12:12" x14ac:dyDescent="0.25">
      <c r="L2639"/>
    </row>
    <row r="2640" spans="12:12" x14ac:dyDescent="0.25">
      <c r="L2640"/>
    </row>
    <row r="2641" spans="12:12" x14ac:dyDescent="0.25">
      <c r="L2641"/>
    </row>
    <row r="2642" spans="12:12" x14ac:dyDescent="0.25">
      <c r="L2642"/>
    </row>
    <row r="2643" spans="12:12" x14ac:dyDescent="0.25">
      <c r="L2643"/>
    </row>
    <row r="2644" spans="12:12" x14ac:dyDescent="0.25">
      <c r="L2644"/>
    </row>
    <row r="2645" spans="12:12" x14ac:dyDescent="0.25">
      <c r="L2645"/>
    </row>
    <row r="2646" spans="12:12" x14ac:dyDescent="0.25">
      <c r="L2646"/>
    </row>
    <row r="2647" spans="12:12" x14ac:dyDescent="0.25">
      <c r="L2647"/>
    </row>
    <row r="2648" spans="12:12" x14ac:dyDescent="0.25">
      <c r="L2648"/>
    </row>
    <row r="2649" spans="12:12" x14ac:dyDescent="0.25">
      <c r="L2649"/>
    </row>
    <row r="2650" spans="12:12" x14ac:dyDescent="0.25">
      <c r="L2650"/>
    </row>
    <row r="2651" spans="12:12" x14ac:dyDescent="0.25">
      <c r="L2651"/>
    </row>
    <row r="2652" spans="12:12" x14ac:dyDescent="0.25">
      <c r="L2652"/>
    </row>
    <row r="2653" spans="12:12" x14ac:dyDescent="0.25">
      <c r="L2653"/>
    </row>
    <row r="2654" spans="12:12" x14ac:dyDescent="0.25">
      <c r="L2654"/>
    </row>
    <row r="2655" spans="12:12" x14ac:dyDescent="0.25">
      <c r="L2655"/>
    </row>
    <row r="2656" spans="12:12" x14ac:dyDescent="0.25">
      <c r="L2656"/>
    </row>
    <row r="2657" spans="12:12" x14ac:dyDescent="0.25">
      <c r="L2657"/>
    </row>
    <row r="2658" spans="12:12" x14ac:dyDescent="0.25">
      <c r="L2658"/>
    </row>
    <row r="2659" spans="12:12" x14ac:dyDescent="0.25">
      <c r="L2659"/>
    </row>
    <row r="2660" spans="12:12" x14ac:dyDescent="0.25">
      <c r="L2660"/>
    </row>
    <row r="2661" spans="12:12" x14ac:dyDescent="0.25">
      <c r="L2661"/>
    </row>
    <row r="2662" spans="12:12" x14ac:dyDescent="0.25">
      <c r="L2662"/>
    </row>
    <row r="2663" spans="12:12" x14ac:dyDescent="0.25">
      <c r="L2663"/>
    </row>
    <row r="2664" spans="12:12" x14ac:dyDescent="0.25">
      <c r="L2664"/>
    </row>
    <row r="2665" spans="12:12" x14ac:dyDescent="0.25">
      <c r="L2665"/>
    </row>
    <row r="2666" spans="12:12" x14ac:dyDescent="0.25">
      <c r="L2666"/>
    </row>
    <row r="2667" spans="12:12" x14ac:dyDescent="0.25">
      <c r="L2667"/>
    </row>
    <row r="2668" spans="12:12" x14ac:dyDescent="0.25">
      <c r="L2668"/>
    </row>
    <row r="2669" spans="12:12" x14ac:dyDescent="0.25">
      <c r="L2669"/>
    </row>
    <row r="2670" spans="12:12" x14ac:dyDescent="0.25">
      <c r="L2670"/>
    </row>
    <row r="2671" spans="12:12" x14ac:dyDescent="0.25">
      <c r="L2671"/>
    </row>
    <row r="2672" spans="12:12" x14ac:dyDescent="0.25">
      <c r="L2672"/>
    </row>
    <row r="2673" spans="12:12" x14ac:dyDescent="0.25">
      <c r="L2673"/>
    </row>
    <row r="2674" spans="12:12" x14ac:dyDescent="0.25">
      <c r="L2674"/>
    </row>
    <row r="2675" spans="12:12" x14ac:dyDescent="0.25">
      <c r="L2675"/>
    </row>
    <row r="2676" spans="12:12" x14ac:dyDescent="0.25">
      <c r="L2676"/>
    </row>
    <row r="2677" spans="12:12" x14ac:dyDescent="0.25">
      <c r="L2677"/>
    </row>
    <row r="2678" spans="12:12" x14ac:dyDescent="0.25">
      <c r="L2678"/>
    </row>
    <row r="2679" spans="12:12" x14ac:dyDescent="0.25">
      <c r="L2679"/>
    </row>
    <row r="2680" spans="12:12" x14ac:dyDescent="0.25">
      <c r="L2680"/>
    </row>
    <row r="2681" spans="12:12" x14ac:dyDescent="0.25">
      <c r="L2681"/>
    </row>
    <row r="2682" spans="12:12" x14ac:dyDescent="0.25">
      <c r="L2682"/>
    </row>
    <row r="2683" spans="12:12" x14ac:dyDescent="0.25">
      <c r="L2683"/>
    </row>
    <row r="2684" spans="12:12" x14ac:dyDescent="0.25">
      <c r="L2684"/>
    </row>
    <row r="2685" spans="12:12" x14ac:dyDescent="0.25">
      <c r="L2685"/>
    </row>
    <row r="2686" spans="12:12" x14ac:dyDescent="0.25">
      <c r="L2686"/>
    </row>
    <row r="2687" spans="12:12" x14ac:dyDescent="0.25">
      <c r="L2687"/>
    </row>
    <row r="2688" spans="12:12" x14ac:dyDescent="0.25">
      <c r="L2688"/>
    </row>
    <row r="2689" spans="12:12" x14ac:dyDescent="0.25">
      <c r="L2689"/>
    </row>
    <row r="2690" spans="12:12" x14ac:dyDescent="0.25">
      <c r="L2690"/>
    </row>
    <row r="2691" spans="12:12" x14ac:dyDescent="0.25">
      <c r="L2691"/>
    </row>
    <row r="2692" spans="12:12" x14ac:dyDescent="0.25">
      <c r="L2692"/>
    </row>
    <row r="2693" spans="12:12" x14ac:dyDescent="0.25">
      <c r="L2693"/>
    </row>
    <row r="2694" spans="12:12" x14ac:dyDescent="0.25">
      <c r="L2694"/>
    </row>
    <row r="2695" spans="12:12" x14ac:dyDescent="0.25">
      <c r="L2695"/>
    </row>
    <row r="2696" spans="12:12" x14ac:dyDescent="0.25">
      <c r="L2696"/>
    </row>
    <row r="2697" spans="12:12" x14ac:dyDescent="0.25">
      <c r="L2697"/>
    </row>
    <row r="2698" spans="12:12" x14ac:dyDescent="0.25">
      <c r="L2698"/>
    </row>
    <row r="2699" spans="12:12" x14ac:dyDescent="0.25">
      <c r="L2699"/>
    </row>
    <row r="2700" spans="12:12" x14ac:dyDescent="0.25">
      <c r="L2700"/>
    </row>
    <row r="2701" spans="12:12" x14ac:dyDescent="0.25">
      <c r="L2701"/>
    </row>
    <row r="2702" spans="12:12" x14ac:dyDescent="0.25">
      <c r="L2702"/>
    </row>
    <row r="2703" spans="12:12" x14ac:dyDescent="0.25">
      <c r="L2703"/>
    </row>
    <row r="2704" spans="12:12" x14ac:dyDescent="0.25">
      <c r="L2704"/>
    </row>
    <row r="2705" spans="12:12" x14ac:dyDescent="0.25">
      <c r="L2705"/>
    </row>
    <row r="2706" spans="12:12" x14ac:dyDescent="0.25">
      <c r="L2706"/>
    </row>
    <row r="2707" spans="12:12" x14ac:dyDescent="0.25">
      <c r="L2707"/>
    </row>
    <row r="2708" spans="12:12" x14ac:dyDescent="0.25">
      <c r="L2708"/>
    </row>
    <row r="2709" spans="12:12" x14ac:dyDescent="0.25">
      <c r="L2709"/>
    </row>
    <row r="2710" spans="12:12" x14ac:dyDescent="0.25">
      <c r="L2710"/>
    </row>
    <row r="2711" spans="12:12" x14ac:dyDescent="0.25">
      <c r="L2711"/>
    </row>
    <row r="2712" spans="12:12" x14ac:dyDescent="0.25">
      <c r="L2712"/>
    </row>
    <row r="2713" spans="12:12" x14ac:dyDescent="0.25">
      <c r="L2713"/>
    </row>
    <row r="2714" spans="12:12" x14ac:dyDescent="0.25">
      <c r="L2714"/>
    </row>
    <row r="2715" spans="12:12" x14ac:dyDescent="0.25">
      <c r="L2715"/>
    </row>
    <row r="2716" spans="12:12" x14ac:dyDescent="0.25">
      <c r="L2716"/>
    </row>
    <row r="2717" spans="12:12" x14ac:dyDescent="0.25">
      <c r="L2717"/>
    </row>
    <row r="2718" spans="12:12" x14ac:dyDescent="0.25">
      <c r="L2718"/>
    </row>
    <row r="2719" spans="12:12" x14ac:dyDescent="0.25">
      <c r="L2719"/>
    </row>
    <row r="2720" spans="12:12" x14ac:dyDescent="0.25">
      <c r="L2720"/>
    </row>
    <row r="2721" spans="12:12" x14ac:dyDescent="0.25">
      <c r="L2721"/>
    </row>
    <row r="2722" spans="12:12" x14ac:dyDescent="0.25">
      <c r="L2722"/>
    </row>
    <row r="2723" spans="12:12" x14ac:dyDescent="0.25">
      <c r="L2723"/>
    </row>
    <row r="2724" spans="12:12" x14ac:dyDescent="0.25">
      <c r="L2724"/>
    </row>
    <row r="2725" spans="12:12" x14ac:dyDescent="0.25">
      <c r="L2725"/>
    </row>
    <row r="2726" spans="12:12" x14ac:dyDescent="0.25">
      <c r="L2726"/>
    </row>
    <row r="2727" spans="12:12" x14ac:dyDescent="0.25">
      <c r="L2727"/>
    </row>
    <row r="2728" spans="12:12" x14ac:dyDescent="0.25">
      <c r="L2728"/>
    </row>
    <row r="2729" spans="12:12" x14ac:dyDescent="0.25">
      <c r="L2729"/>
    </row>
    <row r="2730" spans="12:12" x14ac:dyDescent="0.25">
      <c r="L2730"/>
    </row>
    <row r="2731" spans="12:12" x14ac:dyDescent="0.25">
      <c r="L2731"/>
    </row>
    <row r="2732" spans="12:12" x14ac:dyDescent="0.25">
      <c r="L2732"/>
    </row>
    <row r="2733" spans="12:12" x14ac:dyDescent="0.25">
      <c r="L2733"/>
    </row>
    <row r="2734" spans="12:12" x14ac:dyDescent="0.25">
      <c r="L2734"/>
    </row>
    <row r="2735" spans="12:12" x14ac:dyDescent="0.25">
      <c r="L2735"/>
    </row>
    <row r="2736" spans="12:12" x14ac:dyDescent="0.25">
      <c r="L2736"/>
    </row>
    <row r="2737" spans="12:12" x14ac:dyDescent="0.25">
      <c r="L2737"/>
    </row>
    <row r="2738" spans="12:12" x14ac:dyDescent="0.25">
      <c r="L2738"/>
    </row>
    <row r="2739" spans="12:12" x14ac:dyDescent="0.25">
      <c r="L2739"/>
    </row>
    <row r="2740" spans="12:12" x14ac:dyDescent="0.25">
      <c r="L2740"/>
    </row>
    <row r="2741" spans="12:12" x14ac:dyDescent="0.25">
      <c r="L2741"/>
    </row>
    <row r="2742" spans="12:12" x14ac:dyDescent="0.25">
      <c r="L2742"/>
    </row>
    <row r="2743" spans="12:12" x14ac:dyDescent="0.25">
      <c r="L2743"/>
    </row>
    <row r="2744" spans="12:12" x14ac:dyDescent="0.25">
      <c r="L2744"/>
    </row>
    <row r="2745" spans="12:12" x14ac:dyDescent="0.25">
      <c r="L2745"/>
    </row>
    <row r="2746" spans="12:12" x14ac:dyDescent="0.25">
      <c r="L2746"/>
    </row>
    <row r="2747" spans="12:12" x14ac:dyDescent="0.25">
      <c r="L2747"/>
    </row>
    <row r="2748" spans="12:12" x14ac:dyDescent="0.25">
      <c r="L2748"/>
    </row>
    <row r="2749" spans="12:12" x14ac:dyDescent="0.25">
      <c r="L2749"/>
    </row>
    <row r="2750" spans="12:12" x14ac:dyDescent="0.25">
      <c r="L2750"/>
    </row>
    <row r="2751" spans="12:12" x14ac:dyDescent="0.25">
      <c r="L2751"/>
    </row>
    <row r="2752" spans="12:12" x14ac:dyDescent="0.25">
      <c r="L2752"/>
    </row>
    <row r="2753" spans="12:12" x14ac:dyDescent="0.25">
      <c r="L2753"/>
    </row>
    <row r="2754" spans="12:12" x14ac:dyDescent="0.25">
      <c r="L2754"/>
    </row>
    <row r="2755" spans="12:12" x14ac:dyDescent="0.25">
      <c r="L2755"/>
    </row>
    <row r="2756" spans="12:12" x14ac:dyDescent="0.25">
      <c r="L2756"/>
    </row>
    <row r="2757" spans="12:12" x14ac:dyDescent="0.25">
      <c r="L2757"/>
    </row>
    <row r="2758" spans="12:12" x14ac:dyDescent="0.25">
      <c r="L2758"/>
    </row>
    <row r="2759" spans="12:12" x14ac:dyDescent="0.25">
      <c r="L2759"/>
    </row>
    <row r="2760" spans="12:12" x14ac:dyDescent="0.25">
      <c r="L2760"/>
    </row>
    <row r="2761" spans="12:12" x14ac:dyDescent="0.25">
      <c r="L2761"/>
    </row>
    <row r="2762" spans="12:12" x14ac:dyDescent="0.25">
      <c r="L2762"/>
    </row>
    <row r="2763" spans="12:12" x14ac:dyDescent="0.25">
      <c r="L2763"/>
    </row>
    <row r="2764" spans="12:12" x14ac:dyDescent="0.25">
      <c r="L2764"/>
    </row>
    <row r="2765" spans="12:12" x14ac:dyDescent="0.25">
      <c r="L2765"/>
    </row>
    <row r="2766" spans="12:12" x14ac:dyDescent="0.25">
      <c r="L2766"/>
    </row>
    <row r="2767" spans="12:12" x14ac:dyDescent="0.25">
      <c r="L2767"/>
    </row>
    <row r="2768" spans="12:12" x14ac:dyDescent="0.25">
      <c r="L2768"/>
    </row>
    <row r="2769" spans="12:12" x14ac:dyDescent="0.25">
      <c r="L2769"/>
    </row>
    <row r="2770" spans="12:12" x14ac:dyDescent="0.25">
      <c r="L2770"/>
    </row>
    <row r="2771" spans="12:12" x14ac:dyDescent="0.25">
      <c r="L2771"/>
    </row>
    <row r="2772" spans="12:12" x14ac:dyDescent="0.25">
      <c r="L2772"/>
    </row>
    <row r="2773" spans="12:12" x14ac:dyDescent="0.25">
      <c r="L2773"/>
    </row>
    <row r="2774" spans="12:12" x14ac:dyDescent="0.25">
      <c r="L2774"/>
    </row>
    <row r="2775" spans="12:12" x14ac:dyDescent="0.25">
      <c r="L2775"/>
    </row>
    <row r="2776" spans="12:12" x14ac:dyDescent="0.25">
      <c r="L2776"/>
    </row>
    <row r="2777" spans="12:12" x14ac:dyDescent="0.25">
      <c r="L2777"/>
    </row>
    <row r="2778" spans="12:12" x14ac:dyDescent="0.25">
      <c r="L2778"/>
    </row>
    <row r="2779" spans="12:12" x14ac:dyDescent="0.25">
      <c r="L2779"/>
    </row>
    <row r="2780" spans="12:12" x14ac:dyDescent="0.25">
      <c r="L2780"/>
    </row>
    <row r="2781" spans="12:12" x14ac:dyDescent="0.25">
      <c r="L2781"/>
    </row>
    <row r="2782" spans="12:12" x14ac:dyDescent="0.25">
      <c r="L2782"/>
    </row>
    <row r="2783" spans="12:12" x14ac:dyDescent="0.25">
      <c r="L2783"/>
    </row>
    <row r="2784" spans="12:12" x14ac:dyDescent="0.25">
      <c r="L2784"/>
    </row>
    <row r="2785" spans="12:12" x14ac:dyDescent="0.25">
      <c r="L2785"/>
    </row>
    <row r="2786" spans="12:12" x14ac:dyDescent="0.25">
      <c r="L2786"/>
    </row>
    <row r="2787" spans="12:12" x14ac:dyDescent="0.25">
      <c r="L2787"/>
    </row>
    <row r="2788" spans="12:12" x14ac:dyDescent="0.25">
      <c r="L2788"/>
    </row>
    <row r="2789" spans="12:12" x14ac:dyDescent="0.25">
      <c r="L2789"/>
    </row>
    <row r="2790" spans="12:12" x14ac:dyDescent="0.25">
      <c r="L2790"/>
    </row>
    <row r="2791" spans="12:12" x14ac:dyDescent="0.25">
      <c r="L2791"/>
    </row>
    <row r="2792" spans="12:12" x14ac:dyDescent="0.25">
      <c r="L2792"/>
    </row>
    <row r="2793" spans="12:12" x14ac:dyDescent="0.25">
      <c r="L2793"/>
    </row>
    <row r="2794" spans="12:12" x14ac:dyDescent="0.25">
      <c r="L2794"/>
    </row>
    <row r="2795" spans="12:12" x14ac:dyDescent="0.25">
      <c r="L2795"/>
    </row>
    <row r="2796" spans="12:12" x14ac:dyDescent="0.25">
      <c r="L2796"/>
    </row>
    <row r="2797" spans="12:12" x14ac:dyDescent="0.25">
      <c r="L2797"/>
    </row>
    <row r="2798" spans="12:12" x14ac:dyDescent="0.25">
      <c r="L2798"/>
    </row>
    <row r="2799" spans="12:12" x14ac:dyDescent="0.25">
      <c r="L2799"/>
    </row>
    <row r="2800" spans="12:12" x14ac:dyDescent="0.25">
      <c r="L2800"/>
    </row>
    <row r="2801" spans="12:12" x14ac:dyDescent="0.25">
      <c r="L2801"/>
    </row>
    <row r="2802" spans="12:12" x14ac:dyDescent="0.25">
      <c r="L2802"/>
    </row>
    <row r="2803" spans="12:12" x14ac:dyDescent="0.25">
      <c r="L2803"/>
    </row>
    <row r="2804" spans="12:12" x14ac:dyDescent="0.25">
      <c r="L2804"/>
    </row>
    <row r="2805" spans="12:12" x14ac:dyDescent="0.25">
      <c r="L2805"/>
    </row>
    <row r="2806" spans="12:12" x14ac:dyDescent="0.25">
      <c r="L2806"/>
    </row>
    <row r="2807" spans="12:12" x14ac:dyDescent="0.25">
      <c r="L2807"/>
    </row>
    <row r="2808" spans="12:12" x14ac:dyDescent="0.25">
      <c r="L2808"/>
    </row>
    <row r="2809" spans="12:12" x14ac:dyDescent="0.25">
      <c r="L2809"/>
    </row>
    <row r="2810" spans="12:12" x14ac:dyDescent="0.25">
      <c r="L2810"/>
    </row>
    <row r="2811" spans="12:12" x14ac:dyDescent="0.25">
      <c r="L2811"/>
    </row>
    <row r="2812" spans="12:12" x14ac:dyDescent="0.25">
      <c r="L2812"/>
    </row>
    <row r="2813" spans="12:12" x14ac:dyDescent="0.25">
      <c r="L2813"/>
    </row>
    <row r="2814" spans="12:12" x14ac:dyDescent="0.25">
      <c r="L2814"/>
    </row>
    <row r="2815" spans="12:12" x14ac:dyDescent="0.25">
      <c r="L2815"/>
    </row>
    <row r="2816" spans="12:12" x14ac:dyDescent="0.25">
      <c r="L2816"/>
    </row>
    <row r="2817" spans="12:12" x14ac:dyDescent="0.25">
      <c r="L2817"/>
    </row>
    <row r="2818" spans="12:12" x14ac:dyDescent="0.25">
      <c r="L2818"/>
    </row>
    <row r="2819" spans="12:12" x14ac:dyDescent="0.25">
      <c r="L2819"/>
    </row>
    <row r="2820" spans="12:12" x14ac:dyDescent="0.25">
      <c r="L2820"/>
    </row>
    <row r="2821" spans="12:12" x14ac:dyDescent="0.25">
      <c r="L2821"/>
    </row>
    <row r="2822" spans="12:12" x14ac:dyDescent="0.25">
      <c r="L2822"/>
    </row>
    <row r="2823" spans="12:12" x14ac:dyDescent="0.25">
      <c r="L2823"/>
    </row>
    <row r="2824" spans="12:12" x14ac:dyDescent="0.25">
      <c r="L2824"/>
    </row>
    <row r="2825" spans="12:12" x14ac:dyDescent="0.25">
      <c r="L2825"/>
    </row>
    <row r="2826" spans="12:12" x14ac:dyDescent="0.25">
      <c r="L2826"/>
    </row>
    <row r="2827" spans="12:12" x14ac:dyDescent="0.25">
      <c r="L2827"/>
    </row>
    <row r="2828" spans="12:12" x14ac:dyDescent="0.25">
      <c r="L2828"/>
    </row>
    <row r="2829" spans="12:12" x14ac:dyDescent="0.25">
      <c r="L2829"/>
    </row>
    <row r="2830" spans="12:12" x14ac:dyDescent="0.25">
      <c r="L2830"/>
    </row>
    <row r="2831" spans="12:12" x14ac:dyDescent="0.25">
      <c r="L2831"/>
    </row>
    <row r="2832" spans="12:12" x14ac:dyDescent="0.25">
      <c r="L2832"/>
    </row>
    <row r="2833" spans="12:12" x14ac:dyDescent="0.25">
      <c r="L2833"/>
    </row>
    <row r="2834" spans="12:12" x14ac:dyDescent="0.25">
      <c r="L2834"/>
    </row>
    <row r="2835" spans="12:12" x14ac:dyDescent="0.25">
      <c r="L2835"/>
    </row>
    <row r="2836" spans="12:12" x14ac:dyDescent="0.25">
      <c r="L2836"/>
    </row>
    <row r="2837" spans="12:12" x14ac:dyDescent="0.25">
      <c r="L2837"/>
    </row>
    <row r="2838" spans="12:12" x14ac:dyDescent="0.25">
      <c r="L2838"/>
    </row>
    <row r="2839" spans="12:12" x14ac:dyDescent="0.25">
      <c r="L2839"/>
    </row>
    <row r="2840" spans="12:12" x14ac:dyDescent="0.25">
      <c r="L2840"/>
    </row>
    <row r="2841" spans="12:12" x14ac:dyDescent="0.25">
      <c r="L2841"/>
    </row>
    <row r="2842" spans="12:12" x14ac:dyDescent="0.25">
      <c r="L2842"/>
    </row>
    <row r="2843" spans="12:12" x14ac:dyDescent="0.25">
      <c r="L2843"/>
    </row>
    <row r="2844" spans="12:12" x14ac:dyDescent="0.25">
      <c r="L2844"/>
    </row>
    <row r="2845" spans="12:12" x14ac:dyDescent="0.25">
      <c r="L2845"/>
    </row>
    <row r="2846" spans="12:12" x14ac:dyDescent="0.25">
      <c r="L2846"/>
    </row>
    <row r="2847" spans="12:12" x14ac:dyDescent="0.25">
      <c r="L2847"/>
    </row>
    <row r="2848" spans="12:12" x14ac:dyDescent="0.25">
      <c r="L2848"/>
    </row>
    <row r="2849" spans="12:12" x14ac:dyDescent="0.25">
      <c r="L2849"/>
    </row>
    <row r="2850" spans="12:12" x14ac:dyDescent="0.25">
      <c r="L2850"/>
    </row>
    <row r="2851" spans="12:12" x14ac:dyDescent="0.25">
      <c r="L2851"/>
    </row>
    <row r="2852" spans="12:12" x14ac:dyDescent="0.25">
      <c r="L2852"/>
    </row>
    <row r="2853" spans="12:12" x14ac:dyDescent="0.25">
      <c r="L2853"/>
    </row>
    <row r="2854" spans="12:12" x14ac:dyDescent="0.25">
      <c r="L2854"/>
    </row>
    <row r="2855" spans="12:12" x14ac:dyDescent="0.25">
      <c r="L2855"/>
    </row>
    <row r="2856" spans="12:12" x14ac:dyDescent="0.25">
      <c r="L2856"/>
    </row>
    <row r="2857" spans="12:12" x14ac:dyDescent="0.25">
      <c r="L2857"/>
    </row>
    <row r="2858" spans="12:12" x14ac:dyDescent="0.25">
      <c r="L2858"/>
    </row>
    <row r="2859" spans="12:12" x14ac:dyDescent="0.25">
      <c r="L2859"/>
    </row>
    <row r="2860" spans="12:12" x14ac:dyDescent="0.25">
      <c r="L2860"/>
    </row>
    <row r="2861" spans="12:12" x14ac:dyDescent="0.25">
      <c r="L2861"/>
    </row>
    <row r="2862" spans="12:12" x14ac:dyDescent="0.25">
      <c r="L2862"/>
    </row>
    <row r="2863" spans="12:12" x14ac:dyDescent="0.25">
      <c r="L2863"/>
    </row>
    <row r="2864" spans="12:12" x14ac:dyDescent="0.25">
      <c r="L2864"/>
    </row>
    <row r="2865" spans="12:12" x14ac:dyDescent="0.25">
      <c r="L2865"/>
    </row>
    <row r="2866" spans="12:12" x14ac:dyDescent="0.25">
      <c r="L2866"/>
    </row>
    <row r="2867" spans="12:12" x14ac:dyDescent="0.25">
      <c r="L2867"/>
    </row>
    <row r="2868" spans="12:12" x14ac:dyDescent="0.25">
      <c r="L2868"/>
    </row>
    <row r="2869" spans="12:12" x14ac:dyDescent="0.25">
      <c r="L2869"/>
    </row>
    <row r="2870" spans="12:12" x14ac:dyDescent="0.25">
      <c r="L2870"/>
    </row>
    <row r="2871" spans="12:12" x14ac:dyDescent="0.25">
      <c r="L2871"/>
    </row>
    <row r="2872" spans="12:12" x14ac:dyDescent="0.25">
      <c r="L2872"/>
    </row>
    <row r="2873" spans="12:12" x14ac:dyDescent="0.25">
      <c r="L2873"/>
    </row>
    <row r="2874" spans="12:12" x14ac:dyDescent="0.25">
      <c r="L2874"/>
    </row>
    <row r="2875" spans="12:12" x14ac:dyDescent="0.25">
      <c r="L2875"/>
    </row>
    <row r="2876" spans="12:12" x14ac:dyDescent="0.25">
      <c r="L2876"/>
    </row>
    <row r="2877" spans="12:12" x14ac:dyDescent="0.25">
      <c r="L2877"/>
    </row>
    <row r="2878" spans="12:12" x14ac:dyDescent="0.25">
      <c r="L2878"/>
    </row>
    <row r="2879" spans="12:12" x14ac:dyDescent="0.25">
      <c r="L2879"/>
    </row>
    <row r="2880" spans="12:12" x14ac:dyDescent="0.25">
      <c r="L2880"/>
    </row>
    <row r="2881" spans="12:12" x14ac:dyDescent="0.25">
      <c r="L2881"/>
    </row>
    <row r="2882" spans="12:12" x14ac:dyDescent="0.25">
      <c r="L2882"/>
    </row>
    <row r="2883" spans="12:12" x14ac:dyDescent="0.25">
      <c r="L2883"/>
    </row>
    <row r="2884" spans="12:12" x14ac:dyDescent="0.25">
      <c r="L2884"/>
    </row>
    <row r="2885" spans="12:12" x14ac:dyDescent="0.25">
      <c r="L2885"/>
    </row>
    <row r="2886" spans="12:12" x14ac:dyDescent="0.25">
      <c r="L2886"/>
    </row>
    <row r="2887" spans="12:12" x14ac:dyDescent="0.25">
      <c r="L2887"/>
    </row>
    <row r="2888" spans="12:12" x14ac:dyDescent="0.25">
      <c r="L2888"/>
    </row>
    <row r="2889" spans="12:12" x14ac:dyDescent="0.25">
      <c r="L2889"/>
    </row>
    <row r="2890" spans="12:12" x14ac:dyDescent="0.25">
      <c r="L2890"/>
    </row>
    <row r="2891" spans="12:12" x14ac:dyDescent="0.25">
      <c r="L2891"/>
    </row>
    <row r="2892" spans="12:12" x14ac:dyDescent="0.25">
      <c r="L2892"/>
    </row>
    <row r="2893" spans="12:12" x14ac:dyDescent="0.25">
      <c r="L2893"/>
    </row>
    <row r="2894" spans="12:12" x14ac:dyDescent="0.25">
      <c r="L2894"/>
    </row>
    <row r="2895" spans="12:12" x14ac:dyDescent="0.25">
      <c r="L2895"/>
    </row>
    <row r="2896" spans="12:12" x14ac:dyDescent="0.25">
      <c r="L2896"/>
    </row>
    <row r="2897" spans="12:12" x14ac:dyDescent="0.25">
      <c r="L2897"/>
    </row>
    <row r="2898" spans="12:12" x14ac:dyDescent="0.25">
      <c r="L2898"/>
    </row>
    <row r="2899" spans="12:12" x14ac:dyDescent="0.25">
      <c r="L2899"/>
    </row>
    <row r="2900" spans="12:12" x14ac:dyDescent="0.25">
      <c r="L2900"/>
    </row>
    <row r="2901" spans="12:12" x14ac:dyDescent="0.25">
      <c r="L2901"/>
    </row>
    <row r="2902" spans="12:12" x14ac:dyDescent="0.25">
      <c r="L2902"/>
    </row>
    <row r="2903" spans="12:12" x14ac:dyDescent="0.25">
      <c r="L2903"/>
    </row>
    <row r="2904" spans="12:12" x14ac:dyDescent="0.25">
      <c r="L2904"/>
    </row>
    <row r="2905" spans="12:12" x14ac:dyDescent="0.25">
      <c r="L2905"/>
    </row>
    <row r="2906" spans="12:12" x14ac:dyDescent="0.25">
      <c r="L2906"/>
    </row>
    <row r="2907" spans="12:12" x14ac:dyDescent="0.25">
      <c r="L2907"/>
    </row>
    <row r="2908" spans="12:12" x14ac:dyDescent="0.25">
      <c r="L2908"/>
    </row>
    <row r="2909" spans="12:12" x14ac:dyDescent="0.25">
      <c r="L2909"/>
    </row>
    <row r="2910" spans="12:12" x14ac:dyDescent="0.25">
      <c r="L2910"/>
    </row>
    <row r="2911" spans="12:12" x14ac:dyDescent="0.25">
      <c r="L2911"/>
    </row>
    <row r="2912" spans="12:12" x14ac:dyDescent="0.25">
      <c r="L2912"/>
    </row>
    <row r="2913" spans="12:12" x14ac:dyDescent="0.25">
      <c r="L2913"/>
    </row>
    <row r="2914" spans="12:12" x14ac:dyDescent="0.25">
      <c r="L2914"/>
    </row>
    <row r="2915" spans="12:12" x14ac:dyDescent="0.25">
      <c r="L2915"/>
    </row>
    <row r="2916" spans="12:12" x14ac:dyDescent="0.25">
      <c r="L2916"/>
    </row>
    <row r="2917" spans="12:12" x14ac:dyDescent="0.25">
      <c r="L2917"/>
    </row>
    <row r="2918" spans="12:12" x14ac:dyDescent="0.25">
      <c r="L2918"/>
    </row>
    <row r="2919" spans="12:12" x14ac:dyDescent="0.25">
      <c r="L2919"/>
    </row>
    <row r="2920" spans="12:12" x14ac:dyDescent="0.25">
      <c r="L2920"/>
    </row>
    <row r="2921" spans="12:12" x14ac:dyDescent="0.25">
      <c r="L2921"/>
    </row>
    <row r="2922" spans="12:12" x14ac:dyDescent="0.25">
      <c r="L2922"/>
    </row>
    <row r="2923" spans="12:12" x14ac:dyDescent="0.25">
      <c r="L2923"/>
    </row>
    <row r="2924" spans="12:12" x14ac:dyDescent="0.25">
      <c r="L2924"/>
    </row>
    <row r="2925" spans="12:12" x14ac:dyDescent="0.25">
      <c r="L2925"/>
    </row>
    <row r="2926" spans="12:12" x14ac:dyDescent="0.25">
      <c r="L2926"/>
    </row>
    <row r="2927" spans="12:12" x14ac:dyDescent="0.25">
      <c r="L2927"/>
    </row>
    <row r="2928" spans="12:12" x14ac:dyDescent="0.25">
      <c r="L2928"/>
    </row>
    <row r="2929" spans="12:12" x14ac:dyDescent="0.25">
      <c r="L2929"/>
    </row>
    <row r="2930" spans="12:12" x14ac:dyDescent="0.25">
      <c r="L2930"/>
    </row>
    <row r="2931" spans="12:12" x14ac:dyDescent="0.25">
      <c r="L2931"/>
    </row>
    <row r="2932" spans="12:12" x14ac:dyDescent="0.25">
      <c r="L2932"/>
    </row>
    <row r="2933" spans="12:12" x14ac:dyDescent="0.25">
      <c r="L2933"/>
    </row>
    <row r="2934" spans="12:12" x14ac:dyDescent="0.25">
      <c r="L2934"/>
    </row>
    <row r="2935" spans="12:12" x14ac:dyDescent="0.25">
      <c r="L2935"/>
    </row>
    <row r="2936" spans="12:12" x14ac:dyDescent="0.25">
      <c r="L2936"/>
    </row>
    <row r="2937" spans="12:12" x14ac:dyDescent="0.25">
      <c r="L2937"/>
    </row>
    <row r="2938" spans="12:12" x14ac:dyDescent="0.25">
      <c r="L2938"/>
    </row>
    <row r="2939" spans="12:12" x14ac:dyDescent="0.25">
      <c r="L2939"/>
    </row>
    <row r="2940" spans="12:12" x14ac:dyDescent="0.25">
      <c r="L2940"/>
    </row>
    <row r="2941" spans="12:12" x14ac:dyDescent="0.25">
      <c r="L2941"/>
    </row>
    <row r="2942" spans="12:12" x14ac:dyDescent="0.25">
      <c r="L2942"/>
    </row>
    <row r="2943" spans="12:12" x14ac:dyDescent="0.25">
      <c r="L2943"/>
    </row>
    <row r="2944" spans="12:12" x14ac:dyDescent="0.25">
      <c r="L2944"/>
    </row>
    <row r="2945" spans="12:12" x14ac:dyDescent="0.25">
      <c r="L2945"/>
    </row>
    <row r="2946" spans="12:12" x14ac:dyDescent="0.25">
      <c r="L2946"/>
    </row>
    <row r="2947" spans="12:12" x14ac:dyDescent="0.25">
      <c r="L2947"/>
    </row>
    <row r="2948" spans="12:12" x14ac:dyDescent="0.25">
      <c r="L2948"/>
    </row>
    <row r="2949" spans="12:12" x14ac:dyDescent="0.25">
      <c r="L2949"/>
    </row>
    <row r="2950" spans="12:12" x14ac:dyDescent="0.25">
      <c r="L2950"/>
    </row>
    <row r="2951" spans="12:12" x14ac:dyDescent="0.25">
      <c r="L2951"/>
    </row>
    <row r="2952" spans="12:12" x14ac:dyDescent="0.25">
      <c r="L2952"/>
    </row>
    <row r="2953" spans="12:12" x14ac:dyDescent="0.25">
      <c r="L2953"/>
    </row>
    <row r="2954" spans="12:12" x14ac:dyDescent="0.25">
      <c r="L2954"/>
    </row>
    <row r="2955" spans="12:12" x14ac:dyDescent="0.25">
      <c r="L2955"/>
    </row>
    <row r="2956" spans="12:12" x14ac:dyDescent="0.25">
      <c r="L2956"/>
    </row>
    <row r="2957" spans="12:12" x14ac:dyDescent="0.25">
      <c r="L2957"/>
    </row>
    <row r="2958" spans="12:12" x14ac:dyDescent="0.25">
      <c r="L2958"/>
    </row>
    <row r="2959" spans="12:12" x14ac:dyDescent="0.25">
      <c r="L2959"/>
    </row>
    <row r="2960" spans="12:12" x14ac:dyDescent="0.25">
      <c r="L2960"/>
    </row>
    <row r="2961" spans="12:12" x14ac:dyDescent="0.25">
      <c r="L2961"/>
    </row>
    <row r="2962" spans="12:12" x14ac:dyDescent="0.25">
      <c r="L2962"/>
    </row>
    <row r="2963" spans="12:12" x14ac:dyDescent="0.25">
      <c r="L2963"/>
    </row>
    <row r="2964" spans="12:12" x14ac:dyDescent="0.25">
      <c r="L2964"/>
    </row>
    <row r="2965" spans="12:12" x14ac:dyDescent="0.25">
      <c r="L2965"/>
    </row>
    <row r="2966" spans="12:12" x14ac:dyDescent="0.25">
      <c r="L2966"/>
    </row>
    <row r="2967" spans="12:12" x14ac:dyDescent="0.25">
      <c r="L2967"/>
    </row>
    <row r="2968" spans="12:12" x14ac:dyDescent="0.25">
      <c r="L2968"/>
    </row>
    <row r="2969" spans="12:12" x14ac:dyDescent="0.25">
      <c r="L2969"/>
    </row>
    <row r="2970" spans="12:12" x14ac:dyDescent="0.25">
      <c r="L2970"/>
    </row>
    <row r="2971" spans="12:12" x14ac:dyDescent="0.25">
      <c r="L2971"/>
    </row>
    <row r="2972" spans="12:12" x14ac:dyDescent="0.25">
      <c r="L2972"/>
    </row>
    <row r="2973" spans="12:12" x14ac:dyDescent="0.25">
      <c r="L2973"/>
    </row>
    <row r="2974" spans="12:12" x14ac:dyDescent="0.25">
      <c r="L2974"/>
    </row>
    <row r="2975" spans="12:12" x14ac:dyDescent="0.25">
      <c r="L2975"/>
    </row>
    <row r="2976" spans="12:12" x14ac:dyDescent="0.25">
      <c r="L2976"/>
    </row>
    <row r="2977" spans="12:12" x14ac:dyDescent="0.25">
      <c r="L2977"/>
    </row>
    <row r="2978" spans="12:12" x14ac:dyDescent="0.25">
      <c r="L2978"/>
    </row>
    <row r="2979" spans="12:12" x14ac:dyDescent="0.25">
      <c r="L2979"/>
    </row>
    <row r="2980" spans="12:12" x14ac:dyDescent="0.25">
      <c r="L2980"/>
    </row>
    <row r="2981" spans="12:12" x14ac:dyDescent="0.25">
      <c r="L2981"/>
    </row>
    <row r="2982" spans="12:12" x14ac:dyDescent="0.25">
      <c r="L2982"/>
    </row>
    <row r="2983" spans="12:12" x14ac:dyDescent="0.25">
      <c r="L2983"/>
    </row>
    <row r="2984" spans="12:12" x14ac:dyDescent="0.25">
      <c r="L2984"/>
    </row>
    <row r="2985" spans="12:12" x14ac:dyDescent="0.25">
      <c r="L2985"/>
    </row>
    <row r="2986" spans="12:12" x14ac:dyDescent="0.25">
      <c r="L2986"/>
    </row>
    <row r="2987" spans="12:12" x14ac:dyDescent="0.25">
      <c r="L2987"/>
    </row>
    <row r="2988" spans="12:12" x14ac:dyDescent="0.25">
      <c r="L2988"/>
    </row>
    <row r="2989" spans="12:12" x14ac:dyDescent="0.25">
      <c r="L2989"/>
    </row>
    <row r="2990" spans="12:12" x14ac:dyDescent="0.25">
      <c r="L2990"/>
    </row>
    <row r="2991" spans="12:12" x14ac:dyDescent="0.25">
      <c r="L2991"/>
    </row>
    <row r="2992" spans="12:12" x14ac:dyDescent="0.25">
      <c r="L2992"/>
    </row>
    <row r="2993" spans="12:12" x14ac:dyDescent="0.25">
      <c r="L2993"/>
    </row>
    <row r="2994" spans="12:12" x14ac:dyDescent="0.25">
      <c r="L2994"/>
    </row>
    <row r="2995" spans="12:12" x14ac:dyDescent="0.25">
      <c r="L2995"/>
    </row>
    <row r="2996" spans="12:12" x14ac:dyDescent="0.25">
      <c r="L2996"/>
    </row>
    <row r="2997" spans="12:12" x14ac:dyDescent="0.25">
      <c r="L2997"/>
    </row>
    <row r="2998" spans="12:12" x14ac:dyDescent="0.25">
      <c r="L2998"/>
    </row>
    <row r="2999" spans="12:12" x14ac:dyDescent="0.25">
      <c r="L2999"/>
    </row>
    <row r="3000" spans="12:12" x14ac:dyDescent="0.25">
      <c r="L3000"/>
    </row>
    <row r="3001" spans="12:12" x14ac:dyDescent="0.25">
      <c r="L3001"/>
    </row>
    <row r="3002" spans="12:12" x14ac:dyDescent="0.25">
      <c r="L3002"/>
    </row>
    <row r="3003" spans="12:12" x14ac:dyDescent="0.25">
      <c r="L3003"/>
    </row>
    <row r="3004" spans="12:12" x14ac:dyDescent="0.25">
      <c r="L3004"/>
    </row>
    <row r="3005" spans="12:12" x14ac:dyDescent="0.25">
      <c r="L3005"/>
    </row>
    <row r="3006" spans="12:12" x14ac:dyDescent="0.25">
      <c r="L3006"/>
    </row>
    <row r="3007" spans="12:12" x14ac:dyDescent="0.25">
      <c r="L3007"/>
    </row>
    <row r="3008" spans="12:12" x14ac:dyDescent="0.25">
      <c r="L3008"/>
    </row>
    <row r="3009" spans="12:12" x14ac:dyDescent="0.25">
      <c r="L3009"/>
    </row>
    <row r="3010" spans="12:12" x14ac:dyDescent="0.25">
      <c r="L3010"/>
    </row>
    <row r="3011" spans="12:12" x14ac:dyDescent="0.25">
      <c r="L3011"/>
    </row>
    <row r="3012" spans="12:12" x14ac:dyDescent="0.25">
      <c r="L3012"/>
    </row>
    <row r="3013" spans="12:12" x14ac:dyDescent="0.25">
      <c r="L3013"/>
    </row>
    <row r="3014" spans="12:12" x14ac:dyDescent="0.25">
      <c r="L3014"/>
    </row>
    <row r="3015" spans="12:12" x14ac:dyDescent="0.25">
      <c r="L3015"/>
    </row>
    <row r="3016" spans="12:12" x14ac:dyDescent="0.25">
      <c r="L3016"/>
    </row>
    <row r="3017" spans="12:12" x14ac:dyDescent="0.25">
      <c r="L3017"/>
    </row>
    <row r="3018" spans="12:12" x14ac:dyDescent="0.25">
      <c r="L3018"/>
    </row>
    <row r="3019" spans="12:12" x14ac:dyDescent="0.25">
      <c r="L3019"/>
    </row>
    <row r="3020" spans="12:12" x14ac:dyDescent="0.25">
      <c r="L3020"/>
    </row>
    <row r="3021" spans="12:12" x14ac:dyDescent="0.25">
      <c r="L3021"/>
    </row>
    <row r="3022" spans="12:12" x14ac:dyDescent="0.25">
      <c r="L3022"/>
    </row>
    <row r="3023" spans="12:12" x14ac:dyDescent="0.25">
      <c r="L3023"/>
    </row>
    <row r="3024" spans="12:12" x14ac:dyDescent="0.25">
      <c r="L3024"/>
    </row>
    <row r="3025" spans="12:12" x14ac:dyDescent="0.25">
      <c r="L3025"/>
    </row>
    <row r="3026" spans="12:12" x14ac:dyDescent="0.25">
      <c r="L3026"/>
    </row>
    <row r="3027" spans="12:12" x14ac:dyDescent="0.25">
      <c r="L3027"/>
    </row>
    <row r="3028" spans="12:12" x14ac:dyDescent="0.25">
      <c r="L3028"/>
    </row>
    <row r="3029" spans="12:12" x14ac:dyDescent="0.25">
      <c r="L3029"/>
    </row>
    <row r="3030" spans="12:12" x14ac:dyDescent="0.25">
      <c r="L3030"/>
    </row>
    <row r="3031" spans="12:12" x14ac:dyDescent="0.25">
      <c r="L3031"/>
    </row>
    <row r="3032" spans="12:12" x14ac:dyDescent="0.25">
      <c r="L3032"/>
    </row>
    <row r="3033" spans="12:12" x14ac:dyDescent="0.25">
      <c r="L3033"/>
    </row>
    <row r="3034" spans="12:12" x14ac:dyDescent="0.25">
      <c r="L3034"/>
    </row>
    <row r="3035" spans="12:12" x14ac:dyDescent="0.25">
      <c r="L3035"/>
    </row>
    <row r="3036" spans="12:12" x14ac:dyDescent="0.25">
      <c r="L3036"/>
    </row>
    <row r="3037" spans="12:12" x14ac:dyDescent="0.25">
      <c r="L3037"/>
    </row>
    <row r="3038" spans="12:12" x14ac:dyDescent="0.25">
      <c r="L3038"/>
    </row>
    <row r="3039" spans="12:12" x14ac:dyDescent="0.25">
      <c r="L3039"/>
    </row>
    <row r="3040" spans="12:12" x14ac:dyDescent="0.25">
      <c r="L3040"/>
    </row>
    <row r="3041" spans="12:12" x14ac:dyDescent="0.25">
      <c r="L3041"/>
    </row>
    <row r="3042" spans="12:12" x14ac:dyDescent="0.25">
      <c r="L3042"/>
    </row>
    <row r="3043" spans="12:12" x14ac:dyDescent="0.25">
      <c r="L3043"/>
    </row>
    <row r="3044" spans="12:12" x14ac:dyDescent="0.25">
      <c r="L3044"/>
    </row>
    <row r="3045" spans="12:12" x14ac:dyDescent="0.25">
      <c r="L3045"/>
    </row>
    <row r="3046" spans="12:12" x14ac:dyDescent="0.25">
      <c r="L3046"/>
    </row>
    <row r="3047" spans="12:12" x14ac:dyDescent="0.25">
      <c r="L3047"/>
    </row>
    <row r="3048" spans="12:12" x14ac:dyDescent="0.25">
      <c r="L3048"/>
    </row>
    <row r="3049" spans="12:12" x14ac:dyDescent="0.25">
      <c r="L3049"/>
    </row>
    <row r="3050" spans="12:12" x14ac:dyDescent="0.25">
      <c r="L3050"/>
    </row>
    <row r="3051" spans="12:12" x14ac:dyDescent="0.25">
      <c r="L3051"/>
    </row>
    <row r="3052" spans="12:12" x14ac:dyDescent="0.25">
      <c r="L3052"/>
    </row>
    <row r="3053" spans="12:12" x14ac:dyDescent="0.25">
      <c r="L3053"/>
    </row>
    <row r="3054" spans="12:12" x14ac:dyDescent="0.25">
      <c r="L3054"/>
    </row>
    <row r="3055" spans="12:12" x14ac:dyDescent="0.25">
      <c r="L3055"/>
    </row>
    <row r="3056" spans="12:12" x14ac:dyDescent="0.25">
      <c r="L3056"/>
    </row>
    <row r="3057" spans="12:12" x14ac:dyDescent="0.25">
      <c r="L3057"/>
    </row>
    <row r="3058" spans="12:12" x14ac:dyDescent="0.25">
      <c r="L3058"/>
    </row>
    <row r="3059" spans="12:12" x14ac:dyDescent="0.25">
      <c r="L3059"/>
    </row>
    <row r="3060" spans="12:12" x14ac:dyDescent="0.25">
      <c r="L3060"/>
    </row>
    <row r="3061" spans="12:12" x14ac:dyDescent="0.25">
      <c r="L3061"/>
    </row>
    <row r="3062" spans="12:12" x14ac:dyDescent="0.25">
      <c r="L3062"/>
    </row>
    <row r="3063" spans="12:12" x14ac:dyDescent="0.25">
      <c r="L3063"/>
    </row>
    <row r="3064" spans="12:12" x14ac:dyDescent="0.25">
      <c r="L3064"/>
    </row>
    <row r="3065" spans="12:12" x14ac:dyDescent="0.25">
      <c r="L3065"/>
    </row>
    <row r="3066" spans="12:12" x14ac:dyDescent="0.25">
      <c r="L3066"/>
    </row>
    <row r="3067" spans="12:12" x14ac:dyDescent="0.25">
      <c r="L3067"/>
    </row>
    <row r="3068" spans="12:12" x14ac:dyDescent="0.25">
      <c r="L3068"/>
    </row>
    <row r="3069" spans="12:12" x14ac:dyDescent="0.25">
      <c r="L3069"/>
    </row>
    <row r="3070" spans="12:12" x14ac:dyDescent="0.25">
      <c r="L3070"/>
    </row>
    <row r="3071" spans="12:12" x14ac:dyDescent="0.25">
      <c r="L3071"/>
    </row>
    <row r="3072" spans="12:12" x14ac:dyDescent="0.25">
      <c r="L3072"/>
    </row>
    <row r="3073" spans="12:12" x14ac:dyDescent="0.25">
      <c r="L3073"/>
    </row>
    <row r="3074" spans="12:12" x14ac:dyDescent="0.25">
      <c r="L3074"/>
    </row>
    <row r="3075" spans="12:12" x14ac:dyDescent="0.25">
      <c r="L3075"/>
    </row>
    <row r="3076" spans="12:12" x14ac:dyDescent="0.25">
      <c r="L3076"/>
    </row>
    <row r="3077" spans="12:12" x14ac:dyDescent="0.25">
      <c r="L3077"/>
    </row>
    <row r="3078" spans="12:12" x14ac:dyDescent="0.25">
      <c r="L3078"/>
    </row>
    <row r="3079" spans="12:12" x14ac:dyDescent="0.25">
      <c r="L3079"/>
    </row>
    <row r="3080" spans="12:12" x14ac:dyDescent="0.25">
      <c r="L3080"/>
    </row>
    <row r="3081" spans="12:12" x14ac:dyDescent="0.25">
      <c r="L3081"/>
    </row>
    <row r="3082" spans="12:12" x14ac:dyDescent="0.25">
      <c r="L3082"/>
    </row>
    <row r="3083" spans="12:12" x14ac:dyDescent="0.25">
      <c r="L3083"/>
    </row>
    <row r="3084" spans="12:12" x14ac:dyDescent="0.25">
      <c r="L3084"/>
    </row>
    <row r="3085" spans="12:12" x14ac:dyDescent="0.25">
      <c r="L3085"/>
    </row>
    <row r="3086" spans="12:12" x14ac:dyDescent="0.25">
      <c r="L3086"/>
    </row>
    <row r="3087" spans="12:12" x14ac:dyDescent="0.25">
      <c r="L3087"/>
    </row>
    <row r="3088" spans="12:12" x14ac:dyDescent="0.25">
      <c r="L3088"/>
    </row>
    <row r="3089" spans="12:12" x14ac:dyDescent="0.25">
      <c r="L3089"/>
    </row>
    <row r="3090" spans="12:12" x14ac:dyDescent="0.25">
      <c r="L3090"/>
    </row>
    <row r="3091" spans="12:12" x14ac:dyDescent="0.25">
      <c r="L3091"/>
    </row>
    <row r="3092" spans="12:12" x14ac:dyDescent="0.25">
      <c r="L3092"/>
    </row>
    <row r="3093" spans="12:12" x14ac:dyDescent="0.25">
      <c r="L3093"/>
    </row>
    <row r="3094" spans="12:12" x14ac:dyDescent="0.25">
      <c r="L3094"/>
    </row>
    <row r="3095" spans="12:12" x14ac:dyDescent="0.25">
      <c r="L3095"/>
    </row>
    <row r="3096" spans="12:12" x14ac:dyDescent="0.25">
      <c r="L3096"/>
    </row>
    <row r="3097" spans="12:12" x14ac:dyDescent="0.25">
      <c r="L3097"/>
    </row>
    <row r="3098" spans="12:12" x14ac:dyDescent="0.25">
      <c r="L3098"/>
    </row>
    <row r="3099" spans="12:12" x14ac:dyDescent="0.25">
      <c r="L3099"/>
    </row>
    <row r="3100" spans="12:12" x14ac:dyDescent="0.25">
      <c r="L3100"/>
    </row>
    <row r="3101" spans="12:12" x14ac:dyDescent="0.25">
      <c r="L3101"/>
    </row>
    <row r="3102" spans="12:12" x14ac:dyDescent="0.25">
      <c r="L3102"/>
    </row>
    <row r="3103" spans="12:12" x14ac:dyDescent="0.25">
      <c r="L3103"/>
    </row>
    <row r="3104" spans="12:12" x14ac:dyDescent="0.25">
      <c r="L3104"/>
    </row>
    <row r="3105" spans="12:12" x14ac:dyDescent="0.25">
      <c r="L3105"/>
    </row>
    <row r="3106" spans="12:12" x14ac:dyDescent="0.25">
      <c r="L3106"/>
    </row>
    <row r="3107" spans="12:12" x14ac:dyDescent="0.25">
      <c r="L3107"/>
    </row>
    <row r="3108" spans="12:12" x14ac:dyDescent="0.25">
      <c r="L3108"/>
    </row>
    <row r="3109" spans="12:12" x14ac:dyDescent="0.25">
      <c r="L3109"/>
    </row>
    <row r="3110" spans="12:12" x14ac:dyDescent="0.25">
      <c r="L3110"/>
    </row>
    <row r="3111" spans="12:12" x14ac:dyDescent="0.25">
      <c r="L3111"/>
    </row>
    <row r="3112" spans="12:12" x14ac:dyDescent="0.25">
      <c r="L3112"/>
    </row>
    <row r="3113" spans="12:12" x14ac:dyDescent="0.25">
      <c r="L3113"/>
    </row>
    <row r="3114" spans="12:12" x14ac:dyDescent="0.25">
      <c r="L3114"/>
    </row>
    <row r="3115" spans="12:12" x14ac:dyDescent="0.25">
      <c r="L3115"/>
    </row>
    <row r="3116" spans="12:12" x14ac:dyDescent="0.25">
      <c r="L3116"/>
    </row>
    <row r="3117" spans="12:12" x14ac:dyDescent="0.25">
      <c r="L3117"/>
    </row>
    <row r="3118" spans="12:12" x14ac:dyDescent="0.25">
      <c r="L3118"/>
    </row>
    <row r="3119" spans="12:12" x14ac:dyDescent="0.25">
      <c r="L3119"/>
    </row>
    <row r="3120" spans="12:12" x14ac:dyDescent="0.25">
      <c r="L3120"/>
    </row>
    <row r="3121" spans="12:12" x14ac:dyDescent="0.25">
      <c r="L3121"/>
    </row>
    <row r="3122" spans="12:12" x14ac:dyDescent="0.25">
      <c r="L3122"/>
    </row>
    <row r="3123" spans="12:12" x14ac:dyDescent="0.25">
      <c r="L3123"/>
    </row>
    <row r="3124" spans="12:12" x14ac:dyDescent="0.25">
      <c r="L3124"/>
    </row>
    <row r="3125" spans="12:12" x14ac:dyDescent="0.25">
      <c r="L3125"/>
    </row>
    <row r="3126" spans="12:12" x14ac:dyDescent="0.25">
      <c r="L3126"/>
    </row>
    <row r="3127" spans="12:12" x14ac:dyDescent="0.25">
      <c r="L3127"/>
    </row>
    <row r="3128" spans="12:12" x14ac:dyDescent="0.25">
      <c r="L3128"/>
    </row>
    <row r="3129" spans="12:12" x14ac:dyDescent="0.25">
      <c r="L3129"/>
    </row>
    <row r="3130" spans="12:12" x14ac:dyDescent="0.25">
      <c r="L3130"/>
    </row>
    <row r="3131" spans="12:12" x14ac:dyDescent="0.25">
      <c r="L3131"/>
    </row>
    <row r="3132" spans="12:12" x14ac:dyDescent="0.25">
      <c r="L3132"/>
    </row>
    <row r="3133" spans="12:12" x14ac:dyDescent="0.25">
      <c r="L3133"/>
    </row>
    <row r="3134" spans="12:12" x14ac:dyDescent="0.25">
      <c r="L3134"/>
    </row>
    <row r="3135" spans="12:12" x14ac:dyDescent="0.25">
      <c r="L3135"/>
    </row>
    <row r="3136" spans="12:12" x14ac:dyDescent="0.25">
      <c r="L3136"/>
    </row>
    <row r="3137" spans="12:12" x14ac:dyDescent="0.25">
      <c r="L3137"/>
    </row>
    <row r="3138" spans="12:12" x14ac:dyDescent="0.25">
      <c r="L3138"/>
    </row>
    <row r="3139" spans="12:12" x14ac:dyDescent="0.25">
      <c r="L3139"/>
    </row>
    <row r="3140" spans="12:12" x14ac:dyDescent="0.25">
      <c r="L3140"/>
    </row>
    <row r="3141" spans="12:12" x14ac:dyDescent="0.25">
      <c r="L3141"/>
    </row>
    <row r="3142" spans="12:12" x14ac:dyDescent="0.25">
      <c r="L3142"/>
    </row>
    <row r="3143" spans="12:12" x14ac:dyDescent="0.25">
      <c r="L3143"/>
    </row>
    <row r="3144" spans="12:12" x14ac:dyDescent="0.25">
      <c r="L3144"/>
    </row>
    <row r="3145" spans="12:12" x14ac:dyDescent="0.25">
      <c r="L3145"/>
    </row>
    <row r="3146" spans="12:12" x14ac:dyDescent="0.25">
      <c r="L3146"/>
    </row>
    <row r="3147" spans="12:12" x14ac:dyDescent="0.25">
      <c r="L3147"/>
    </row>
    <row r="3148" spans="12:12" x14ac:dyDescent="0.25">
      <c r="L3148"/>
    </row>
    <row r="3149" spans="12:12" x14ac:dyDescent="0.25">
      <c r="L3149"/>
    </row>
    <row r="3150" spans="12:12" x14ac:dyDescent="0.25">
      <c r="L3150"/>
    </row>
    <row r="3151" spans="12:12" x14ac:dyDescent="0.25">
      <c r="L3151"/>
    </row>
    <row r="3152" spans="12:12" x14ac:dyDescent="0.25">
      <c r="L3152"/>
    </row>
    <row r="3153" spans="12:12" x14ac:dyDescent="0.25">
      <c r="L3153"/>
    </row>
    <row r="3154" spans="12:12" x14ac:dyDescent="0.25">
      <c r="L3154"/>
    </row>
    <row r="3155" spans="12:12" x14ac:dyDescent="0.25">
      <c r="L3155"/>
    </row>
    <row r="3156" spans="12:12" x14ac:dyDescent="0.25">
      <c r="L3156"/>
    </row>
    <row r="3157" spans="12:12" x14ac:dyDescent="0.25">
      <c r="L3157"/>
    </row>
    <row r="3158" spans="12:12" x14ac:dyDescent="0.25">
      <c r="L3158"/>
    </row>
    <row r="3159" spans="12:12" x14ac:dyDescent="0.25">
      <c r="L3159"/>
    </row>
    <row r="3160" spans="12:12" x14ac:dyDescent="0.25">
      <c r="L3160"/>
    </row>
    <row r="3161" spans="12:12" x14ac:dyDescent="0.25">
      <c r="L3161"/>
    </row>
    <row r="3162" spans="12:12" x14ac:dyDescent="0.25">
      <c r="L3162"/>
    </row>
    <row r="3163" spans="12:12" x14ac:dyDescent="0.25">
      <c r="L3163"/>
    </row>
    <row r="3164" spans="12:12" x14ac:dyDescent="0.25">
      <c r="L3164"/>
    </row>
    <row r="3165" spans="12:12" x14ac:dyDescent="0.25">
      <c r="L3165"/>
    </row>
    <row r="3166" spans="12:12" x14ac:dyDescent="0.25">
      <c r="L3166"/>
    </row>
    <row r="3167" spans="12:12" x14ac:dyDescent="0.25">
      <c r="L3167"/>
    </row>
    <row r="3168" spans="12:12" x14ac:dyDescent="0.25">
      <c r="L3168"/>
    </row>
    <row r="3169" spans="12:12" x14ac:dyDescent="0.25">
      <c r="L3169"/>
    </row>
    <row r="3170" spans="12:12" x14ac:dyDescent="0.25">
      <c r="L3170"/>
    </row>
    <row r="3171" spans="12:12" x14ac:dyDescent="0.25">
      <c r="L3171"/>
    </row>
    <row r="3172" spans="12:12" x14ac:dyDescent="0.25">
      <c r="L3172"/>
    </row>
    <row r="3173" spans="12:12" x14ac:dyDescent="0.25">
      <c r="L3173"/>
    </row>
    <row r="3174" spans="12:12" x14ac:dyDescent="0.25">
      <c r="L3174"/>
    </row>
    <row r="3175" spans="12:12" x14ac:dyDescent="0.25">
      <c r="L3175"/>
    </row>
    <row r="3176" spans="12:12" x14ac:dyDescent="0.25">
      <c r="L3176"/>
    </row>
    <row r="3177" spans="12:12" x14ac:dyDescent="0.25">
      <c r="L3177"/>
    </row>
    <row r="3178" spans="12:12" x14ac:dyDescent="0.25">
      <c r="L3178"/>
    </row>
    <row r="3179" spans="12:12" x14ac:dyDescent="0.25">
      <c r="L3179"/>
    </row>
    <row r="3180" spans="12:12" x14ac:dyDescent="0.25">
      <c r="L3180"/>
    </row>
    <row r="3181" spans="12:12" x14ac:dyDescent="0.25">
      <c r="L3181"/>
    </row>
    <row r="3182" spans="12:12" x14ac:dyDescent="0.25">
      <c r="L3182"/>
    </row>
    <row r="3183" spans="12:12" x14ac:dyDescent="0.25">
      <c r="L3183"/>
    </row>
    <row r="3184" spans="12:12" x14ac:dyDescent="0.25">
      <c r="L3184"/>
    </row>
    <row r="3185" spans="12:12" x14ac:dyDescent="0.25">
      <c r="L3185"/>
    </row>
    <row r="3186" spans="12:12" x14ac:dyDescent="0.25">
      <c r="L3186"/>
    </row>
    <row r="3187" spans="12:12" x14ac:dyDescent="0.25">
      <c r="L3187"/>
    </row>
    <row r="3188" spans="12:12" x14ac:dyDescent="0.25">
      <c r="L3188"/>
    </row>
    <row r="3189" spans="12:12" x14ac:dyDescent="0.25">
      <c r="L3189"/>
    </row>
    <row r="3190" spans="12:12" x14ac:dyDescent="0.25">
      <c r="L3190"/>
    </row>
    <row r="3191" spans="12:12" x14ac:dyDescent="0.25">
      <c r="L3191"/>
    </row>
    <row r="3192" spans="12:12" x14ac:dyDescent="0.25">
      <c r="L3192"/>
    </row>
    <row r="3193" spans="12:12" x14ac:dyDescent="0.25">
      <c r="L3193"/>
    </row>
    <row r="3194" spans="12:12" x14ac:dyDescent="0.25">
      <c r="L3194"/>
    </row>
    <row r="3195" spans="12:12" x14ac:dyDescent="0.25">
      <c r="L3195"/>
    </row>
    <row r="3196" spans="12:12" x14ac:dyDescent="0.25">
      <c r="L3196"/>
    </row>
    <row r="3197" spans="12:12" x14ac:dyDescent="0.25">
      <c r="L3197"/>
    </row>
    <row r="3198" spans="12:12" x14ac:dyDescent="0.25">
      <c r="L3198"/>
    </row>
    <row r="3199" spans="12:12" x14ac:dyDescent="0.25">
      <c r="L3199"/>
    </row>
    <row r="3200" spans="12:12" x14ac:dyDescent="0.25">
      <c r="L3200"/>
    </row>
    <row r="3201" spans="12:12" x14ac:dyDescent="0.25">
      <c r="L3201"/>
    </row>
    <row r="3202" spans="12:12" x14ac:dyDescent="0.25">
      <c r="L3202"/>
    </row>
    <row r="3203" spans="12:12" x14ac:dyDescent="0.25">
      <c r="L3203"/>
    </row>
    <row r="3204" spans="12:12" x14ac:dyDescent="0.25">
      <c r="L3204"/>
    </row>
    <row r="3205" spans="12:12" x14ac:dyDescent="0.25">
      <c r="L3205"/>
    </row>
    <row r="3206" spans="12:12" x14ac:dyDescent="0.25">
      <c r="L3206"/>
    </row>
    <row r="3207" spans="12:12" x14ac:dyDescent="0.25">
      <c r="L3207"/>
    </row>
    <row r="3208" spans="12:12" x14ac:dyDescent="0.25">
      <c r="L3208"/>
    </row>
    <row r="3209" spans="12:12" x14ac:dyDescent="0.25">
      <c r="L3209"/>
    </row>
    <row r="3210" spans="12:12" x14ac:dyDescent="0.25">
      <c r="L3210"/>
    </row>
    <row r="3211" spans="12:12" x14ac:dyDescent="0.25">
      <c r="L3211"/>
    </row>
    <row r="3212" spans="12:12" x14ac:dyDescent="0.25">
      <c r="L3212"/>
    </row>
    <row r="3213" spans="12:12" x14ac:dyDescent="0.25">
      <c r="L3213"/>
    </row>
    <row r="3214" spans="12:12" x14ac:dyDescent="0.25">
      <c r="L3214"/>
    </row>
    <row r="3215" spans="12:12" x14ac:dyDescent="0.25">
      <c r="L3215"/>
    </row>
    <row r="3216" spans="12:12" x14ac:dyDescent="0.25">
      <c r="L3216"/>
    </row>
    <row r="3217" spans="12:12" x14ac:dyDescent="0.25">
      <c r="L3217"/>
    </row>
    <row r="3218" spans="12:12" x14ac:dyDescent="0.25">
      <c r="L3218"/>
    </row>
    <row r="3219" spans="12:12" x14ac:dyDescent="0.25">
      <c r="L3219"/>
    </row>
    <row r="3220" spans="12:12" x14ac:dyDescent="0.25">
      <c r="L3220"/>
    </row>
    <row r="3221" spans="12:12" x14ac:dyDescent="0.25">
      <c r="L3221"/>
    </row>
    <row r="3222" spans="12:12" x14ac:dyDescent="0.25">
      <c r="L3222"/>
    </row>
    <row r="3223" spans="12:12" x14ac:dyDescent="0.25">
      <c r="L3223"/>
    </row>
    <row r="3224" spans="12:12" x14ac:dyDescent="0.25">
      <c r="L3224"/>
    </row>
    <row r="3225" spans="12:12" x14ac:dyDescent="0.25">
      <c r="L3225"/>
    </row>
    <row r="3226" spans="12:12" x14ac:dyDescent="0.25">
      <c r="L3226"/>
    </row>
    <row r="3227" spans="12:12" x14ac:dyDescent="0.25">
      <c r="L3227"/>
    </row>
    <row r="3228" spans="12:12" x14ac:dyDescent="0.25">
      <c r="L3228"/>
    </row>
    <row r="3229" spans="12:12" x14ac:dyDescent="0.25">
      <c r="L3229"/>
    </row>
    <row r="3230" spans="12:12" x14ac:dyDescent="0.25">
      <c r="L3230"/>
    </row>
    <row r="3231" spans="12:12" x14ac:dyDescent="0.25">
      <c r="L3231"/>
    </row>
    <row r="3232" spans="12:12" x14ac:dyDescent="0.25">
      <c r="L3232"/>
    </row>
    <row r="3233" spans="12:12" x14ac:dyDescent="0.25">
      <c r="L3233"/>
    </row>
    <row r="3234" spans="12:12" x14ac:dyDescent="0.25">
      <c r="L3234"/>
    </row>
    <row r="3235" spans="12:12" x14ac:dyDescent="0.25">
      <c r="L3235"/>
    </row>
    <row r="3236" spans="12:12" x14ac:dyDescent="0.25">
      <c r="L3236"/>
    </row>
    <row r="3237" spans="12:12" x14ac:dyDescent="0.25">
      <c r="L3237"/>
    </row>
    <row r="3238" spans="12:12" x14ac:dyDescent="0.25">
      <c r="L3238"/>
    </row>
    <row r="3239" spans="12:12" x14ac:dyDescent="0.25">
      <c r="L3239"/>
    </row>
    <row r="3240" spans="12:12" x14ac:dyDescent="0.25">
      <c r="L3240"/>
    </row>
    <row r="3241" spans="12:12" x14ac:dyDescent="0.25">
      <c r="L3241"/>
    </row>
    <row r="3242" spans="12:12" x14ac:dyDescent="0.25">
      <c r="L3242"/>
    </row>
    <row r="3243" spans="12:12" x14ac:dyDescent="0.25">
      <c r="L3243"/>
    </row>
    <row r="3244" spans="12:12" x14ac:dyDescent="0.25">
      <c r="L3244"/>
    </row>
    <row r="3245" spans="12:12" x14ac:dyDescent="0.25">
      <c r="L3245"/>
    </row>
    <row r="3246" spans="12:12" x14ac:dyDescent="0.25">
      <c r="L3246"/>
    </row>
    <row r="3247" spans="12:12" x14ac:dyDescent="0.25">
      <c r="L3247"/>
    </row>
    <row r="3248" spans="12:12" x14ac:dyDescent="0.25">
      <c r="L3248"/>
    </row>
    <row r="3249" spans="12:12" x14ac:dyDescent="0.25">
      <c r="L3249"/>
    </row>
    <row r="3250" spans="12:12" x14ac:dyDescent="0.25">
      <c r="L3250"/>
    </row>
    <row r="3251" spans="12:12" x14ac:dyDescent="0.25">
      <c r="L3251"/>
    </row>
    <row r="3252" spans="12:12" x14ac:dyDescent="0.25">
      <c r="L3252"/>
    </row>
    <row r="3253" spans="12:12" x14ac:dyDescent="0.25">
      <c r="L3253"/>
    </row>
    <row r="3254" spans="12:12" x14ac:dyDescent="0.25">
      <c r="L3254"/>
    </row>
    <row r="3255" spans="12:12" x14ac:dyDescent="0.25">
      <c r="L3255"/>
    </row>
    <row r="3256" spans="12:12" x14ac:dyDescent="0.25">
      <c r="L3256"/>
    </row>
    <row r="3257" spans="12:12" x14ac:dyDescent="0.25">
      <c r="L3257"/>
    </row>
    <row r="3258" spans="12:12" x14ac:dyDescent="0.25">
      <c r="L3258"/>
    </row>
    <row r="3259" spans="12:12" x14ac:dyDescent="0.25">
      <c r="L3259"/>
    </row>
    <row r="3260" spans="12:12" x14ac:dyDescent="0.25">
      <c r="L3260"/>
    </row>
    <row r="3261" spans="12:12" x14ac:dyDescent="0.25">
      <c r="L3261"/>
    </row>
    <row r="3262" spans="12:12" x14ac:dyDescent="0.25">
      <c r="L3262"/>
    </row>
    <row r="3263" spans="12:12" x14ac:dyDescent="0.25">
      <c r="L3263"/>
    </row>
    <row r="3264" spans="12:12" x14ac:dyDescent="0.25">
      <c r="L3264"/>
    </row>
    <row r="3265" spans="12:12" x14ac:dyDescent="0.25">
      <c r="L3265"/>
    </row>
    <row r="3266" spans="12:12" x14ac:dyDescent="0.25">
      <c r="L3266"/>
    </row>
    <row r="3267" spans="12:12" x14ac:dyDescent="0.25">
      <c r="L3267"/>
    </row>
    <row r="3268" spans="12:12" x14ac:dyDescent="0.25">
      <c r="L3268"/>
    </row>
    <row r="3269" spans="12:12" x14ac:dyDescent="0.25">
      <c r="L3269"/>
    </row>
    <row r="3270" spans="12:12" x14ac:dyDescent="0.25">
      <c r="L3270"/>
    </row>
    <row r="3271" spans="12:12" x14ac:dyDescent="0.25">
      <c r="L3271"/>
    </row>
    <row r="3272" spans="12:12" x14ac:dyDescent="0.25">
      <c r="L3272"/>
    </row>
    <row r="3273" spans="12:12" x14ac:dyDescent="0.25">
      <c r="L3273"/>
    </row>
    <row r="3274" spans="12:12" x14ac:dyDescent="0.25">
      <c r="L3274"/>
    </row>
    <row r="3275" spans="12:12" x14ac:dyDescent="0.25">
      <c r="L3275"/>
    </row>
    <row r="3276" spans="12:12" x14ac:dyDescent="0.25">
      <c r="L3276"/>
    </row>
    <row r="3277" spans="12:12" x14ac:dyDescent="0.25">
      <c r="L3277"/>
    </row>
    <row r="3278" spans="12:12" x14ac:dyDescent="0.25">
      <c r="L3278"/>
    </row>
    <row r="3279" spans="12:12" x14ac:dyDescent="0.25">
      <c r="L3279"/>
    </row>
    <row r="3280" spans="12:12" x14ac:dyDescent="0.25">
      <c r="L3280"/>
    </row>
    <row r="3281" spans="12:12" x14ac:dyDescent="0.25">
      <c r="L3281"/>
    </row>
    <row r="3282" spans="12:12" x14ac:dyDescent="0.25">
      <c r="L3282"/>
    </row>
    <row r="3283" spans="12:12" x14ac:dyDescent="0.25">
      <c r="L3283"/>
    </row>
    <row r="3284" spans="12:12" x14ac:dyDescent="0.25">
      <c r="L3284"/>
    </row>
    <row r="3285" spans="12:12" x14ac:dyDescent="0.25">
      <c r="L3285"/>
    </row>
    <row r="3286" spans="12:12" x14ac:dyDescent="0.25">
      <c r="L3286"/>
    </row>
    <row r="3287" spans="12:12" x14ac:dyDescent="0.25">
      <c r="L3287"/>
    </row>
    <row r="3288" spans="12:12" x14ac:dyDescent="0.25">
      <c r="L3288"/>
    </row>
    <row r="3289" spans="12:12" x14ac:dyDescent="0.25">
      <c r="L3289"/>
    </row>
    <row r="3290" spans="12:12" x14ac:dyDescent="0.25">
      <c r="L3290"/>
    </row>
    <row r="3291" spans="12:12" x14ac:dyDescent="0.25">
      <c r="L3291"/>
    </row>
    <row r="3292" spans="12:12" x14ac:dyDescent="0.25">
      <c r="L3292"/>
    </row>
    <row r="3293" spans="12:12" x14ac:dyDescent="0.25">
      <c r="L3293"/>
    </row>
    <row r="3294" spans="12:12" x14ac:dyDescent="0.25">
      <c r="L3294"/>
    </row>
    <row r="3295" spans="12:12" x14ac:dyDescent="0.25">
      <c r="L3295"/>
    </row>
    <row r="3296" spans="12:12" x14ac:dyDescent="0.25">
      <c r="L3296"/>
    </row>
    <row r="3297" spans="12:12" x14ac:dyDescent="0.25">
      <c r="L3297"/>
    </row>
    <row r="3298" spans="12:12" x14ac:dyDescent="0.25">
      <c r="L3298"/>
    </row>
    <row r="3299" spans="12:12" x14ac:dyDescent="0.25">
      <c r="L3299"/>
    </row>
    <row r="3300" spans="12:12" x14ac:dyDescent="0.25">
      <c r="L3300"/>
    </row>
    <row r="3301" spans="12:12" x14ac:dyDescent="0.25">
      <c r="L3301"/>
    </row>
    <row r="3302" spans="12:12" x14ac:dyDescent="0.25">
      <c r="L3302"/>
    </row>
    <row r="3303" spans="12:12" x14ac:dyDescent="0.25">
      <c r="L3303"/>
    </row>
    <row r="3304" spans="12:12" x14ac:dyDescent="0.25">
      <c r="L3304"/>
    </row>
    <row r="3305" spans="12:12" x14ac:dyDescent="0.25">
      <c r="L3305"/>
    </row>
    <row r="3306" spans="12:12" x14ac:dyDescent="0.25">
      <c r="L3306"/>
    </row>
    <row r="3307" spans="12:12" x14ac:dyDescent="0.25">
      <c r="L3307"/>
    </row>
    <row r="3308" spans="12:12" x14ac:dyDescent="0.25">
      <c r="L3308"/>
    </row>
    <row r="3309" spans="12:12" x14ac:dyDescent="0.25">
      <c r="L3309"/>
    </row>
    <row r="3310" spans="12:12" x14ac:dyDescent="0.25">
      <c r="L3310"/>
    </row>
    <row r="3311" spans="12:12" x14ac:dyDescent="0.25">
      <c r="L3311"/>
    </row>
    <row r="3312" spans="12:12" x14ac:dyDescent="0.25">
      <c r="L3312"/>
    </row>
    <row r="3313" spans="12:12" x14ac:dyDescent="0.25">
      <c r="L3313"/>
    </row>
    <row r="3314" spans="12:12" x14ac:dyDescent="0.25">
      <c r="L3314"/>
    </row>
    <row r="3315" spans="12:12" x14ac:dyDescent="0.25">
      <c r="L3315"/>
    </row>
    <row r="3316" spans="12:12" x14ac:dyDescent="0.25">
      <c r="L3316"/>
    </row>
    <row r="3317" spans="12:12" x14ac:dyDescent="0.25">
      <c r="L3317"/>
    </row>
    <row r="3318" spans="12:12" x14ac:dyDescent="0.25">
      <c r="L3318"/>
    </row>
    <row r="3319" spans="12:12" x14ac:dyDescent="0.25">
      <c r="L3319"/>
    </row>
    <row r="3320" spans="12:12" x14ac:dyDescent="0.25">
      <c r="L3320"/>
    </row>
    <row r="3321" spans="12:12" x14ac:dyDescent="0.25">
      <c r="L3321"/>
    </row>
    <row r="3322" spans="12:12" x14ac:dyDescent="0.25">
      <c r="L3322"/>
    </row>
    <row r="3323" spans="12:12" x14ac:dyDescent="0.25">
      <c r="L3323"/>
    </row>
    <row r="3324" spans="12:12" x14ac:dyDescent="0.25">
      <c r="L3324"/>
    </row>
    <row r="3325" spans="12:12" x14ac:dyDescent="0.25">
      <c r="L3325"/>
    </row>
    <row r="3326" spans="12:12" x14ac:dyDescent="0.25">
      <c r="L3326"/>
    </row>
    <row r="3327" spans="12:12" x14ac:dyDescent="0.25">
      <c r="L3327"/>
    </row>
    <row r="3328" spans="12:12" x14ac:dyDescent="0.25">
      <c r="L3328"/>
    </row>
    <row r="3329" spans="12:12" x14ac:dyDescent="0.25">
      <c r="L3329"/>
    </row>
    <row r="3330" spans="12:12" x14ac:dyDescent="0.25">
      <c r="L3330"/>
    </row>
    <row r="3331" spans="12:12" x14ac:dyDescent="0.25">
      <c r="L3331"/>
    </row>
    <row r="3332" spans="12:12" x14ac:dyDescent="0.25">
      <c r="L3332"/>
    </row>
    <row r="3333" spans="12:12" x14ac:dyDescent="0.25">
      <c r="L3333"/>
    </row>
    <row r="3334" spans="12:12" x14ac:dyDescent="0.25">
      <c r="L3334"/>
    </row>
    <row r="3335" spans="12:12" x14ac:dyDescent="0.25">
      <c r="L3335"/>
    </row>
    <row r="3336" spans="12:12" x14ac:dyDescent="0.25">
      <c r="L3336"/>
    </row>
    <row r="3337" spans="12:12" x14ac:dyDescent="0.25">
      <c r="L3337"/>
    </row>
    <row r="3338" spans="12:12" x14ac:dyDescent="0.25">
      <c r="L3338"/>
    </row>
    <row r="3339" spans="12:12" x14ac:dyDescent="0.25">
      <c r="L3339"/>
    </row>
    <row r="3340" spans="12:12" x14ac:dyDescent="0.25">
      <c r="L3340"/>
    </row>
    <row r="3341" spans="12:12" x14ac:dyDescent="0.25">
      <c r="L3341"/>
    </row>
    <row r="3342" spans="12:12" x14ac:dyDescent="0.25">
      <c r="L3342"/>
    </row>
    <row r="3343" spans="12:12" x14ac:dyDescent="0.25">
      <c r="L3343"/>
    </row>
    <row r="3344" spans="12:12" x14ac:dyDescent="0.25">
      <c r="L3344"/>
    </row>
    <row r="3345" spans="12:12" x14ac:dyDescent="0.25">
      <c r="L3345"/>
    </row>
    <row r="3346" spans="12:12" x14ac:dyDescent="0.25">
      <c r="L3346"/>
    </row>
    <row r="3347" spans="12:12" x14ac:dyDescent="0.25">
      <c r="L3347"/>
    </row>
    <row r="3348" spans="12:12" x14ac:dyDescent="0.25">
      <c r="L3348"/>
    </row>
    <row r="3349" spans="12:12" x14ac:dyDescent="0.25">
      <c r="L3349"/>
    </row>
    <row r="3350" spans="12:12" x14ac:dyDescent="0.25">
      <c r="L3350"/>
    </row>
    <row r="3351" spans="12:12" x14ac:dyDescent="0.25">
      <c r="L3351"/>
    </row>
    <row r="3352" spans="12:12" x14ac:dyDescent="0.25">
      <c r="L3352"/>
    </row>
    <row r="3353" spans="12:12" x14ac:dyDescent="0.25">
      <c r="L3353"/>
    </row>
    <row r="3354" spans="12:12" x14ac:dyDescent="0.25">
      <c r="L3354"/>
    </row>
    <row r="3355" spans="12:12" x14ac:dyDescent="0.25">
      <c r="L3355"/>
    </row>
    <row r="3356" spans="12:12" x14ac:dyDescent="0.25">
      <c r="L3356"/>
    </row>
    <row r="3357" spans="12:12" x14ac:dyDescent="0.25">
      <c r="L3357"/>
    </row>
    <row r="3358" spans="12:12" x14ac:dyDescent="0.25">
      <c r="L3358"/>
    </row>
    <row r="3359" spans="12:12" x14ac:dyDescent="0.25">
      <c r="L3359"/>
    </row>
    <row r="3360" spans="12:12" x14ac:dyDescent="0.25">
      <c r="L3360"/>
    </row>
    <row r="3361" spans="12:12" x14ac:dyDescent="0.25">
      <c r="L3361"/>
    </row>
    <row r="3362" spans="12:12" x14ac:dyDescent="0.25">
      <c r="L3362"/>
    </row>
    <row r="3363" spans="12:12" x14ac:dyDescent="0.25">
      <c r="L3363"/>
    </row>
    <row r="3364" spans="12:12" x14ac:dyDescent="0.25">
      <c r="L3364"/>
    </row>
    <row r="3365" spans="12:12" x14ac:dyDescent="0.25">
      <c r="L3365"/>
    </row>
    <row r="3366" spans="12:12" x14ac:dyDescent="0.25">
      <c r="L3366"/>
    </row>
    <row r="3367" spans="12:12" x14ac:dyDescent="0.25">
      <c r="L3367"/>
    </row>
    <row r="3368" spans="12:12" x14ac:dyDescent="0.25">
      <c r="L3368"/>
    </row>
    <row r="3369" spans="12:12" x14ac:dyDescent="0.25">
      <c r="L3369"/>
    </row>
    <row r="3370" spans="12:12" x14ac:dyDescent="0.25">
      <c r="L3370"/>
    </row>
    <row r="3371" spans="12:12" x14ac:dyDescent="0.25">
      <c r="L3371"/>
    </row>
    <row r="3372" spans="12:12" x14ac:dyDescent="0.25">
      <c r="L3372"/>
    </row>
    <row r="3373" spans="12:12" x14ac:dyDescent="0.25">
      <c r="L3373"/>
    </row>
    <row r="3374" spans="12:12" x14ac:dyDescent="0.25">
      <c r="L3374"/>
    </row>
    <row r="3375" spans="12:12" x14ac:dyDescent="0.25">
      <c r="L3375"/>
    </row>
    <row r="3376" spans="12:12" x14ac:dyDescent="0.25">
      <c r="L3376"/>
    </row>
    <row r="3377" spans="12:12" x14ac:dyDescent="0.25">
      <c r="L3377"/>
    </row>
    <row r="3378" spans="12:12" x14ac:dyDescent="0.25">
      <c r="L3378"/>
    </row>
    <row r="3379" spans="12:12" x14ac:dyDescent="0.25">
      <c r="L3379"/>
    </row>
    <row r="3380" spans="12:12" x14ac:dyDescent="0.25">
      <c r="L3380"/>
    </row>
    <row r="3381" spans="12:12" x14ac:dyDescent="0.25">
      <c r="L3381"/>
    </row>
    <row r="3382" spans="12:12" x14ac:dyDescent="0.25">
      <c r="L3382"/>
    </row>
    <row r="3383" spans="12:12" x14ac:dyDescent="0.25">
      <c r="L3383"/>
    </row>
    <row r="3384" spans="12:12" x14ac:dyDescent="0.25">
      <c r="L3384"/>
    </row>
    <row r="3385" spans="12:12" x14ac:dyDescent="0.25">
      <c r="L3385"/>
    </row>
    <row r="3386" spans="12:12" x14ac:dyDescent="0.25">
      <c r="L3386"/>
    </row>
    <row r="3387" spans="12:12" x14ac:dyDescent="0.25">
      <c r="L3387"/>
    </row>
    <row r="3388" spans="12:12" x14ac:dyDescent="0.25">
      <c r="L3388"/>
    </row>
    <row r="3389" spans="12:12" x14ac:dyDescent="0.25">
      <c r="L3389"/>
    </row>
    <row r="3390" spans="12:12" x14ac:dyDescent="0.25">
      <c r="L3390"/>
    </row>
    <row r="3391" spans="12:12" x14ac:dyDescent="0.25">
      <c r="L3391"/>
    </row>
    <row r="3392" spans="12:12" x14ac:dyDescent="0.25">
      <c r="L3392"/>
    </row>
    <row r="3393" spans="12:12" x14ac:dyDescent="0.25">
      <c r="L3393"/>
    </row>
    <row r="3394" spans="12:12" x14ac:dyDescent="0.25">
      <c r="L3394"/>
    </row>
    <row r="3395" spans="12:12" x14ac:dyDescent="0.25">
      <c r="L3395"/>
    </row>
    <row r="3396" spans="12:12" x14ac:dyDescent="0.25">
      <c r="L3396"/>
    </row>
    <row r="3397" spans="12:12" x14ac:dyDescent="0.25">
      <c r="L3397"/>
    </row>
    <row r="3398" spans="12:12" x14ac:dyDescent="0.25">
      <c r="L3398"/>
    </row>
    <row r="3399" spans="12:12" x14ac:dyDescent="0.25">
      <c r="L3399"/>
    </row>
    <row r="3400" spans="12:12" x14ac:dyDescent="0.25">
      <c r="L3400"/>
    </row>
    <row r="3401" spans="12:12" x14ac:dyDescent="0.25">
      <c r="L3401"/>
    </row>
    <row r="3402" spans="12:12" x14ac:dyDescent="0.25">
      <c r="L3402"/>
    </row>
    <row r="3403" spans="12:12" x14ac:dyDescent="0.25">
      <c r="L3403"/>
    </row>
    <row r="3404" spans="12:12" x14ac:dyDescent="0.25">
      <c r="L3404"/>
    </row>
    <row r="3405" spans="12:12" x14ac:dyDescent="0.25">
      <c r="L3405"/>
    </row>
    <row r="3406" spans="12:12" x14ac:dyDescent="0.25">
      <c r="L3406"/>
    </row>
    <row r="3407" spans="12:12" x14ac:dyDescent="0.25">
      <c r="L3407"/>
    </row>
    <row r="3408" spans="12:12" x14ac:dyDescent="0.25">
      <c r="L3408"/>
    </row>
    <row r="3409" spans="12:12" x14ac:dyDescent="0.25">
      <c r="L3409"/>
    </row>
    <row r="3410" spans="12:12" x14ac:dyDescent="0.25">
      <c r="L3410"/>
    </row>
    <row r="3411" spans="12:12" x14ac:dyDescent="0.25">
      <c r="L3411"/>
    </row>
    <row r="3412" spans="12:12" x14ac:dyDescent="0.25">
      <c r="L3412"/>
    </row>
    <row r="3413" spans="12:12" x14ac:dyDescent="0.25">
      <c r="L3413"/>
    </row>
    <row r="3414" spans="12:12" x14ac:dyDescent="0.25">
      <c r="L3414"/>
    </row>
    <row r="3415" spans="12:12" x14ac:dyDescent="0.25">
      <c r="L3415"/>
    </row>
    <row r="3416" spans="12:12" x14ac:dyDescent="0.25">
      <c r="L3416"/>
    </row>
    <row r="3417" spans="12:12" x14ac:dyDescent="0.25">
      <c r="L3417"/>
    </row>
    <row r="3418" spans="12:12" x14ac:dyDescent="0.25">
      <c r="L3418"/>
    </row>
    <row r="3419" spans="12:12" x14ac:dyDescent="0.25">
      <c r="L3419"/>
    </row>
    <row r="3420" spans="12:12" x14ac:dyDescent="0.25">
      <c r="L3420"/>
    </row>
    <row r="3421" spans="12:12" x14ac:dyDescent="0.25">
      <c r="L3421"/>
    </row>
    <row r="3422" spans="12:12" x14ac:dyDescent="0.25">
      <c r="L3422"/>
    </row>
    <row r="3423" spans="12:12" x14ac:dyDescent="0.25">
      <c r="L3423"/>
    </row>
    <row r="3424" spans="12:12" x14ac:dyDescent="0.25">
      <c r="L3424"/>
    </row>
    <row r="3425" spans="12:12" x14ac:dyDescent="0.25">
      <c r="L3425"/>
    </row>
    <row r="3426" spans="12:12" x14ac:dyDescent="0.25">
      <c r="L3426"/>
    </row>
    <row r="3427" spans="12:12" x14ac:dyDescent="0.25">
      <c r="L3427"/>
    </row>
    <row r="3428" spans="12:12" x14ac:dyDescent="0.25">
      <c r="L3428"/>
    </row>
    <row r="3429" spans="12:12" x14ac:dyDescent="0.25">
      <c r="L3429"/>
    </row>
    <row r="3430" spans="12:12" x14ac:dyDescent="0.25">
      <c r="L3430"/>
    </row>
    <row r="3431" spans="12:12" x14ac:dyDescent="0.25">
      <c r="L3431"/>
    </row>
    <row r="3432" spans="12:12" x14ac:dyDescent="0.25">
      <c r="L3432"/>
    </row>
    <row r="3433" spans="12:12" x14ac:dyDescent="0.25">
      <c r="L3433"/>
    </row>
    <row r="3434" spans="12:12" x14ac:dyDescent="0.25">
      <c r="L3434"/>
    </row>
    <row r="3435" spans="12:12" x14ac:dyDescent="0.25">
      <c r="L3435"/>
    </row>
    <row r="3436" spans="12:12" x14ac:dyDescent="0.25">
      <c r="L3436"/>
    </row>
    <row r="3437" spans="12:12" x14ac:dyDescent="0.25">
      <c r="L3437"/>
    </row>
    <row r="3438" spans="12:12" x14ac:dyDescent="0.25">
      <c r="L3438"/>
    </row>
    <row r="3439" spans="12:12" x14ac:dyDescent="0.25">
      <c r="L3439"/>
    </row>
    <row r="3440" spans="12:12" x14ac:dyDescent="0.25">
      <c r="L3440"/>
    </row>
    <row r="3441" spans="12:12" x14ac:dyDescent="0.25">
      <c r="L3441"/>
    </row>
    <row r="3442" spans="12:12" x14ac:dyDescent="0.25">
      <c r="L3442"/>
    </row>
    <row r="3443" spans="12:12" x14ac:dyDescent="0.25">
      <c r="L3443"/>
    </row>
    <row r="3444" spans="12:12" x14ac:dyDescent="0.25">
      <c r="L3444"/>
    </row>
    <row r="3445" spans="12:12" x14ac:dyDescent="0.25">
      <c r="L3445"/>
    </row>
    <row r="3446" spans="12:12" x14ac:dyDescent="0.25">
      <c r="L3446"/>
    </row>
    <row r="3447" spans="12:12" x14ac:dyDescent="0.25">
      <c r="L3447"/>
    </row>
    <row r="3448" spans="12:12" x14ac:dyDescent="0.25">
      <c r="L3448"/>
    </row>
    <row r="3449" spans="12:12" x14ac:dyDescent="0.25">
      <c r="L3449"/>
    </row>
    <row r="3450" spans="12:12" x14ac:dyDescent="0.25">
      <c r="L3450"/>
    </row>
    <row r="3451" spans="12:12" x14ac:dyDescent="0.25">
      <c r="L3451"/>
    </row>
    <row r="3452" spans="12:12" x14ac:dyDescent="0.25">
      <c r="L3452"/>
    </row>
    <row r="3453" spans="12:12" x14ac:dyDescent="0.25">
      <c r="L3453"/>
    </row>
    <row r="3454" spans="12:12" x14ac:dyDescent="0.25">
      <c r="L3454"/>
    </row>
    <row r="3455" spans="12:12" x14ac:dyDescent="0.25">
      <c r="L3455"/>
    </row>
    <row r="3456" spans="12:12" x14ac:dyDescent="0.25">
      <c r="L3456"/>
    </row>
    <row r="3457" spans="12:12" x14ac:dyDescent="0.25">
      <c r="L3457"/>
    </row>
    <row r="3458" spans="12:12" x14ac:dyDescent="0.25">
      <c r="L3458"/>
    </row>
    <row r="3459" spans="12:12" x14ac:dyDescent="0.25">
      <c r="L3459"/>
    </row>
    <row r="3460" spans="12:12" x14ac:dyDescent="0.25">
      <c r="L3460"/>
    </row>
    <row r="3461" spans="12:12" x14ac:dyDescent="0.25">
      <c r="L3461"/>
    </row>
    <row r="3462" spans="12:12" x14ac:dyDescent="0.25">
      <c r="L3462"/>
    </row>
    <row r="3463" spans="12:12" x14ac:dyDescent="0.25">
      <c r="L3463"/>
    </row>
    <row r="3464" spans="12:12" x14ac:dyDescent="0.25">
      <c r="L3464"/>
    </row>
    <row r="3465" spans="12:12" x14ac:dyDescent="0.25">
      <c r="L3465"/>
    </row>
    <row r="3466" spans="12:12" x14ac:dyDescent="0.25">
      <c r="L3466"/>
    </row>
    <row r="3467" spans="12:12" x14ac:dyDescent="0.25">
      <c r="L3467"/>
    </row>
    <row r="3468" spans="12:12" x14ac:dyDescent="0.25">
      <c r="L3468"/>
    </row>
    <row r="3469" spans="12:12" x14ac:dyDescent="0.25">
      <c r="L3469"/>
    </row>
    <row r="3470" spans="12:12" x14ac:dyDescent="0.25">
      <c r="L3470"/>
    </row>
    <row r="3471" spans="12:12" x14ac:dyDescent="0.25">
      <c r="L3471"/>
    </row>
    <row r="3472" spans="12:12" x14ac:dyDescent="0.25">
      <c r="L3472"/>
    </row>
    <row r="3473" spans="12:12" x14ac:dyDescent="0.25">
      <c r="L3473"/>
    </row>
    <row r="3474" spans="12:12" x14ac:dyDescent="0.25">
      <c r="L3474"/>
    </row>
    <row r="3475" spans="12:12" x14ac:dyDescent="0.25">
      <c r="L3475"/>
    </row>
    <row r="3476" spans="12:12" x14ac:dyDescent="0.25">
      <c r="L3476"/>
    </row>
    <row r="3477" spans="12:12" x14ac:dyDescent="0.25">
      <c r="L3477"/>
    </row>
    <row r="3478" spans="12:12" x14ac:dyDescent="0.25">
      <c r="L3478"/>
    </row>
    <row r="3479" spans="12:12" x14ac:dyDescent="0.25">
      <c r="L3479"/>
    </row>
    <row r="3480" spans="12:12" x14ac:dyDescent="0.25">
      <c r="L3480"/>
    </row>
    <row r="3481" spans="12:12" x14ac:dyDescent="0.25">
      <c r="L3481"/>
    </row>
    <row r="3482" spans="12:12" x14ac:dyDescent="0.25">
      <c r="L3482"/>
    </row>
    <row r="3483" spans="12:12" x14ac:dyDescent="0.25">
      <c r="L3483"/>
    </row>
    <row r="3484" spans="12:12" x14ac:dyDescent="0.25">
      <c r="L3484"/>
    </row>
    <row r="3485" spans="12:12" x14ac:dyDescent="0.25">
      <c r="L3485"/>
    </row>
    <row r="3486" spans="12:12" x14ac:dyDescent="0.25">
      <c r="L3486"/>
    </row>
    <row r="3487" spans="12:12" x14ac:dyDescent="0.25">
      <c r="L3487"/>
    </row>
    <row r="3488" spans="12:12" x14ac:dyDescent="0.25">
      <c r="L3488"/>
    </row>
    <row r="3489" spans="12:12" x14ac:dyDescent="0.25">
      <c r="L3489"/>
    </row>
    <row r="3490" spans="12:12" x14ac:dyDescent="0.25">
      <c r="L3490"/>
    </row>
    <row r="3491" spans="12:12" x14ac:dyDescent="0.25">
      <c r="L3491"/>
    </row>
    <row r="3492" spans="12:12" x14ac:dyDescent="0.25">
      <c r="L3492"/>
    </row>
    <row r="3493" spans="12:12" x14ac:dyDescent="0.25">
      <c r="L3493"/>
    </row>
    <row r="3494" spans="12:12" x14ac:dyDescent="0.25">
      <c r="L3494"/>
    </row>
    <row r="3495" spans="12:12" x14ac:dyDescent="0.25">
      <c r="L3495"/>
    </row>
    <row r="3496" spans="12:12" x14ac:dyDescent="0.25">
      <c r="L3496"/>
    </row>
    <row r="3497" spans="12:12" x14ac:dyDescent="0.25">
      <c r="L3497"/>
    </row>
    <row r="3498" spans="12:12" x14ac:dyDescent="0.25">
      <c r="L3498"/>
    </row>
    <row r="3499" spans="12:12" x14ac:dyDescent="0.25">
      <c r="L3499"/>
    </row>
    <row r="3500" spans="12:12" x14ac:dyDescent="0.25">
      <c r="L3500"/>
    </row>
    <row r="3501" spans="12:12" x14ac:dyDescent="0.25">
      <c r="L3501"/>
    </row>
    <row r="3502" spans="12:12" x14ac:dyDescent="0.25">
      <c r="L3502"/>
    </row>
    <row r="3503" spans="12:12" x14ac:dyDescent="0.25">
      <c r="L3503"/>
    </row>
    <row r="3504" spans="12:12" x14ac:dyDescent="0.25">
      <c r="L3504"/>
    </row>
    <row r="3505" spans="12:12" x14ac:dyDescent="0.25">
      <c r="L3505"/>
    </row>
    <row r="3506" spans="12:12" x14ac:dyDescent="0.25">
      <c r="L3506"/>
    </row>
    <row r="3507" spans="12:12" x14ac:dyDescent="0.25">
      <c r="L3507"/>
    </row>
    <row r="3508" spans="12:12" x14ac:dyDescent="0.25">
      <c r="L3508"/>
    </row>
    <row r="3509" spans="12:12" x14ac:dyDescent="0.25">
      <c r="L3509"/>
    </row>
    <row r="3510" spans="12:12" x14ac:dyDescent="0.25">
      <c r="L3510"/>
    </row>
    <row r="3511" spans="12:12" x14ac:dyDescent="0.25">
      <c r="L3511"/>
    </row>
    <row r="3512" spans="12:12" x14ac:dyDescent="0.25">
      <c r="L3512"/>
    </row>
    <row r="3513" spans="12:12" x14ac:dyDescent="0.25">
      <c r="L3513"/>
    </row>
    <row r="3514" spans="12:12" x14ac:dyDescent="0.25">
      <c r="L3514"/>
    </row>
    <row r="3515" spans="12:12" x14ac:dyDescent="0.25">
      <c r="L3515"/>
    </row>
    <row r="3516" spans="12:12" x14ac:dyDescent="0.25">
      <c r="L3516"/>
    </row>
    <row r="3517" spans="12:12" x14ac:dyDescent="0.25">
      <c r="L3517"/>
    </row>
    <row r="3518" spans="12:12" x14ac:dyDescent="0.25">
      <c r="L3518"/>
    </row>
    <row r="3519" spans="12:12" x14ac:dyDescent="0.25">
      <c r="L3519"/>
    </row>
    <row r="3520" spans="12:12" x14ac:dyDescent="0.25">
      <c r="L3520"/>
    </row>
    <row r="3521" spans="12:12" x14ac:dyDescent="0.25">
      <c r="L3521"/>
    </row>
    <row r="3522" spans="12:12" x14ac:dyDescent="0.25">
      <c r="L3522"/>
    </row>
    <row r="3523" spans="12:12" x14ac:dyDescent="0.25">
      <c r="L3523"/>
    </row>
    <row r="3524" spans="12:12" x14ac:dyDescent="0.25">
      <c r="L3524"/>
    </row>
    <row r="3525" spans="12:12" x14ac:dyDescent="0.25">
      <c r="L3525"/>
    </row>
    <row r="3526" spans="12:12" x14ac:dyDescent="0.25">
      <c r="L3526"/>
    </row>
    <row r="3527" spans="12:12" x14ac:dyDescent="0.25">
      <c r="L3527"/>
    </row>
    <row r="3528" spans="12:12" x14ac:dyDescent="0.25">
      <c r="L3528"/>
    </row>
    <row r="3529" spans="12:12" x14ac:dyDescent="0.25">
      <c r="L3529"/>
    </row>
    <row r="3530" spans="12:12" x14ac:dyDescent="0.25">
      <c r="L3530"/>
    </row>
    <row r="3531" spans="12:12" x14ac:dyDescent="0.25">
      <c r="L3531"/>
    </row>
    <row r="3532" spans="12:12" x14ac:dyDescent="0.25">
      <c r="L3532"/>
    </row>
    <row r="3533" spans="12:12" x14ac:dyDescent="0.25">
      <c r="L3533"/>
    </row>
    <row r="3534" spans="12:12" x14ac:dyDescent="0.25">
      <c r="L3534"/>
    </row>
    <row r="3535" spans="12:12" x14ac:dyDescent="0.25">
      <c r="L3535"/>
    </row>
    <row r="3536" spans="12:12" x14ac:dyDescent="0.25">
      <c r="L3536"/>
    </row>
    <row r="3537" spans="12:12" x14ac:dyDescent="0.25">
      <c r="L3537"/>
    </row>
    <row r="3538" spans="12:12" x14ac:dyDescent="0.25">
      <c r="L3538"/>
    </row>
    <row r="3539" spans="12:12" x14ac:dyDescent="0.25">
      <c r="L3539"/>
    </row>
    <row r="3540" spans="12:12" x14ac:dyDescent="0.25">
      <c r="L3540"/>
    </row>
    <row r="3541" spans="12:12" x14ac:dyDescent="0.25">
      <c r="L3541"/>
    </row>
    <row r="3542" spans="12:12" x14ac:dyDescent="0.25">
      <c r="L3542"/>
    </row>
    <row r="3543" spans="12:12" x14ac:dyDescent="0.25">
      <c r="L3543"/>
    </row>
    <row r="3544" spans="12:12" x14ac:dyDescent="0.25">
      <c r="L3544"/>
    </row>
    <row r="3545" spans="12:12" x14ac:dyDescent="0.25">
      <c r="L3545"/>
    </row>
    <row r="3546" spans="12:12" x14ac:dyDescent="0.25">
      <c r="L3546"/>
    </row>
    <row r="3547" spans="12:12" x14ac:dyDescent="0.25">
      <c r="L3547"/>
    </row>
    <row r="3548" spans="12:12" x14ac:dyDescent="0.25">
      <c r="L3548"/>
    </row>
    <row r="3549" spans="12:12" x14ac:dyDescent="0.25">
      <c r="L3549"/>
    </row>
    <row r="3550" spans="12:12" x14ac:dyDescent="0.25">
      <c r="L3550"/>
    </row>
    <row r="3551" spans="12:12" x14ac:dyDescent="0.25">
      <c r="L3551"/>
    </row>
    <row r="3552" spans="12:12" x14ac:dyDescent="0.25">
      <c r="L3552"/>
    </row>
    <row r="3553" spans="12:12" x14ac:dyDescent="0.25">
      <c r="L3553"/>
    </row>
    <row r="3554" spans="12:12" x14ac:dyDescent="0.25">
      <c r="L3554"/>
    </row>
    <row r="3555" spans="12:12" x14ac:dyDescent="0.25">
      <c r="L3555"/>
    </row>
    <row r="3556" spans="12:12" x14ac:dyDescent="0.25">
      <c r="L3556"/>
    </row>
    <row r="3557" spans="12:12" x14ac:dyDescent="0.25">
      <c r="L3557"/>
    </row>
    <row r="3558" spans="12:12" x14ac:dyDescent="0.25">
      <c r="L3558"/>
    </row>
    <row r="3559" spans="12:12" x14ac:dyDescent="0.25">
      <c r="L3559"/>
    </row>
    <row r="3560" spans="12:12" x14ac:dyDescent="0.25">
      <c r="L3560"/>
    </row>
    <row r="3561" spans="12:12" x14ac:dyDescent="0.25">
      <c r="L3561"/>
    </row>
    <row r="3562" spans="12:12" x14ac:dyDescent="0.25">
      <c r="L3562"/>
    </row>
    <row r="3563" spans="12:12" x14ac:dyDescent="0.25">
      <c r="L3563"/>
    </row>
    <row r="3564" spans="12:12" x14ac:dyDescent="0.25">
      <c r="L3564"/>
    </row>
    <row r="3565" spans="12:12" x14ac:dyDescent="0.25">
      <c r="L3565"/>
    </row>
    <row r="3566" spans="12:12" x14ac:dyDescent="0.25">
      <c r="L3566"/>
    </row>
    <row r="3567" spans="12:12" x14ac:dyDescent="0.25">
      <c r="L3567"/>
    </row>
    <row r="3568" spans="12:12" x14ac:dyDescent="0.25">
      <c r="L3568"/>
    </row>
    <row r="3569" spans="12:12" x14ac:dyDescent="0.25">
      <c r="L3569"/>
    </row>
    <row r="3570" spans="12:12" x14ac:dyDescent="0.25">
      <c r="L3570"/>
    </row>
    <row r="3571" spans="12:12" x14ac:dyDescent="0.25">
      <c r="L3571"/>
    </row>
    <row r="3572" spans="12:12" x14ac:dyDescent="0.25">
      <c r="L3572"/>
    </row>
    <row r="3573" spans="12:12" x14ac:dyDescent="0.25">
      <c r="L3573"/>
    </row>
    <row r="3574" spans="12:12" x14ac:dyDescent="0.25">
      <c r="L3574"/>
    </row>
    <row r="3575" spans="12:12" x14ac:dyDescent="0.25">
      <c r="L3575"/>
    </row>
    <row r="3576" spans="12:12" x14ac:dyDescent="0.25">
      <c r="L3576"/>
    </row>
    <row r="3577" spans="12:12" x14ac:dyDescent="0.25">
      <c r="L3577"/>
    </row>
    <row r="3578" spans="12:12" x14ac:dyDescent="0.25">
      <c r="L3578"/>
    </row>
    <row r="3579" spans="12:12" x14ac:dyDescent="0.25">
      <c r="L3579"/>
    </row>
    <row r="3580" spans="12:12" x14ac:dyDescent="0.25">
      <c r="L3580"/>
    </row>
    <row r="3581" spans="12:12" x14ac:dyDescent="0.25">
      <c r="L3581"/>
    </row>
    <row r="3582" spans="12:12" x14ac:dyDescent="0.25">
      <c r="L3582"/>
    </row>
    <row r="3583" spans="12:12" x14ac:dyDescent="0.25">
      <c r="L3583"/>
    </row>
    <row r="3584" spans="12:12" x14ac:dyDescent="0.25">
      <c r="L3584"/>
    </row>
    <row r="3585" spans="12:12" x14ac:dyDescent="0.25">
      <c r="L3585"/>
    </row>
    <row r="3586" spans="12:12" x14ac:dyDescent="0.25">
      <c r="L3586"/>
    </row>
    <row r="3587" spans="12:12" x14ac:dyDescent="0.25">
      <c r="L3587"/>
    </row>
    <row r="3588" spans="12:12" x14ac:dyDescent="0.25">
      <c r="L3588"/>
    </row>
    <row r="3589" spans="12:12" x14ac:dyDescent="0.25">
      <c r="L3589"/>
    </row>
    <row r="3590" spans="12:12" x14ac:dyDescent="0.25">
      <c r="L3590"/>
    </row>
    <row r="3591" spans="12:12" x14ac:dyDescent="0.25">
      <c r="L3591"/>
    </row>
    <row r="3592" spans="12:12" x14ac:dyDescent="0.25">
      <c r="L3592"/>
    </row>
    <row r="3593" spans="12:12" x14ac:dyDescent="0.25">
      <c r="L3593"/>
    </row>
    <row r="3594" spans="12:12" x14ac:dyDescent="0.25">
      <c r="L3594"/>
    </row>
    <row r="3595" spans="12:12" x14ac:dyDescent="0.25">
      <c r="L3595"/>
    </row>
    <row r="3596" spans="12:12" x14ac:dyDescent="0.25">
      <c r="L3596"/>
    </row>
    <row r="3597" spans="12:12" x14ac:dyDescent="0.25">
      <c r="L3597"/>
    </row>
    <row r="3598" spans="12:12" x14ac:dyDescent="0.25">
      <c r="L3598"/>
    </row>
    <row r="3599" spans="12:12" x14ac:dyDescent="0.25">
      <c r="L3599"/>
    </row>
    <row r="3600" spans="12:12" x14ac:dyDescent="0.25">
      <c r="L3600"/>
    </row>
    <row r="3601" spans="12:12" x14ac:dyDescent="0.25">
      <c r="L3601"/>
    </row>
    <row r="3602" spans="12:12" x14ac:dyDescent="0.25">
      <c r="L3602"/>
    </row>
    <row r="3603" spans="12:12" x14ac:dyDescent="0.25">
      <c r="L3603"/>
    </row>
    <row r="3604" spans="12:12" x14ac:dyDescent="0.25">
      <c r="L3604"/>
    </row>
    <row r="3605" spans="12:12" x14ac:dyDescent="0.25">
      <c r="L3605"/>
    </row>
    <row r="3606" spans="12:12" x14ac:dyDescent="0.25">
      <c r="L3606"/>
    </row>
    <row r="3607" spans="12:12" x14ac:dyDescent="0.25">
      <c r="L3607"/>
    </row>
    <row r="3608" spans="12:12" x14ac:dyDescent="0.25">
      <c r="L3608"/>
    </row>
    <row r="3609" spans="12:12" x14ac:dyDescent="0.25">
      <c r="L3609"/>
    </row>
    <row r="3610" spans="12:12" x14ac:dyDescent="0.25">
      <c r="L3610"/>
    </row>
    <row r="3611" spans="12:12" x14ac:dyDescent="0.25">
      <c r="L3611"/>
    </row>
    <row r="3612" spans="12:12" x14ac:dyDescent="0.25">
      <c r="L3612"/>
    </row>
    <row r="3613" spans="12:12" x14ac:dyDescent="0.25">
      <c r="L3613"/>
    </row>
    <row r="3614" spans="12:12" x14ac:dyDescent="0.25">
      <c r="L3614"/>
    </row>
    <row r="3615" spans="12:12" x14ac:dyDescent="0.25">
      <c r="L3615"/>
    </row>
    <row r="3616" spans="12:12" x14ac:dyDescent="0.25">
      <c r="L3616"/>
    </row>
    <row r="3617" spans="12:12" x14ac:dyDescent="0.25">
      <c r="L3617"/>
    </row>
    <row r="3618" spans="12:12" x14ac:dyDescent="0.25">
      <c r="L3618"/>
    </row>
    <row r="3619" spans="12:12" x14ac:dyDescent="0.25">
      <c r="L3619"/>
    </row>
    <row r="3620" spans="12:12" x14ac:dyDescent="0.25">
      <c r="L3620"/>
    </row>
    <row r="3621" spans="12:12" x14ac:dyDescent="0.25">
      <c r="L3621"/>
    </row>
    <row r="3622" spans="12:12" x14ac:dyDescent="0.25">
      <c r="L3622"/>
    </row>
    <row r="3623" spans="12:12" x14ac:dyDescent="0.25">
      <c r="L3623"/>
    </row>
    <row r="3624" spans="12:12" x14ac:dyDescent="0.25">
      <c r="L3624"/>
    </row>
    <row r="3625" spans="12:12" x14ac:dyDescent="0.25">
      <c r="L3625"/>
    </row>
    <row r="3626" spans="12:12" x14ac:dyDescent="0.25">
      <c r="L3626"/>
    </row>
    <row r="3627" spans="12:12" x14ac:dyDescent="0.25">
      <c r="L3627"/>
    </row>
    <row r="3628" spans="12:12" x14ac:dyDescent="0.25">
      <c r="L3628"/>
    </row>
    <row r="3629" spans="12:12" x14ac:dyDescent="0.25">
      <c r="L3629"/>
    </row>
    <row r="3630" spans="12:12" x14ac:dyDescent="0.25">
      <c r="L3630"/>
    </row>
    <row r="3631" spans="12:12" x14ac:dyDescent="0.25">
      <c r="L3631"/>
    </row>
    <row r="3632" spans="12:12" x14ac:dyDescent="0.25">
      <c r="L3632"/>
    </row>
    <row r="3633" spans="12:12" x14ac:dyDescent="0.25">
      <c r="L3633"/>
    </row>
    <row r="3634" spans="12:12" x14ac:dyDescent="0.25">
      <c r="L3634"/>
    </row>
    <row r="3635" spans="12:12" x14ac:dyDescent="0.25">
      <c r="L3635"/>
    </row>
    <row r="3636" spans="12:12" x14ac:dyDescent="0.25">
      <c r="L3636"/>
    </row>
    <row r="3637" spans="12:12" x14ac:dyDescent="0.25">
      <c r="L3637"/>
    </row>
    <row r="3638" spans="12:12" x14ac:dyDescent="0.25">
      <c r="L3638"/>
    </row>
    <row r="3639" spans="12:12" x14ac:dyDescent="0.25">
      <c r="L3639"/>
    </row>
    <row r="3640" spans="12:12" x14ac:dyDescent="0.25">
      <c r="L3640"/>
    </row>
    <row r="3641" spans="12:12" x14ac:dyDescent="0.25">
      <c r="L3641"/>
    </row>
    <row r="3642" spans="12:12" x14ac:dyDescent="0.25">
      <c r="L3642"/>
    </row>
    <row r="3643" spans="12:12" x14ac:dyDescent="0.25">
      <c r="L3643"/>
    </row>
    <row r="3644" spans="12:12" x14ac:dyDescent="0.25">
      <c r="L3644"/>
    </row>
    <row r="3645" spans="12:12" x14ac:dyDescent="0.25">
      <c r="L3645"/>
    </row>
    <row r="3646" spans="12:12" x14ac:dyDescent="0.25">
      <c r="L3646"/>
    </row>
    <row r="3647" spans="12:12" x14ac:dyDescent="0.25">
      <c r="L3647"/>
    </row>
    <row r="3648" spans="12:12" x14ac:dyDescent="0.25">
      <c r="L3648"/>
    </row>
    <row r="3649" spans="12:12" x14ac:dyDescent="0.25">
      <c r="L3649"/>
    </row>
    <row r="3650" spans="12:12" x14ac:dyDescent="0.25">
      <c r="L3650"/>
    </row>
    <row r="3651" spans="12:12" x14ac:dyDescent="0.25">
      <c r="L3651"/>
    </row>
    <row r="3652" spans="12:12" x14ac:dyDescent="0.25">
      <c r="L3652"/>
    </row>
    <row r="3653" spans="12:12" x14ac:dyDescent="0.25">
      <c r="L3653"/>
    </row>
    <row r="3654" spans="12:12" x14ac:dyDescent="0.25">
      <c r="L3654"/>
    </row>
    <row r="3655" spans="12:12" x14ac:dyDescent="0.25">
      <c r="L3655"/>
    </row>
    <row r="3656" spans="12:12" x14ac:dyDescent="0.25">
      <c r="L3656"/>
    </row>
    <row r="3657" spans="12:12" x14ac:dyDescent="0.25">
      <c r="L3657"/>
    </row>
    <row r="3658" spans="12:12" x14ac:dyDescent="0.25">
      <c r="L3658"/>
    </row>
    <row r="3659" spans="12:12" x14ac:dyDescent="0.25">
      <c r="L3659"/>
    </row>
    <row r="3660" spans="12:12" x14ac:dyDescent="0.25">
      <c r="L3660"/>
    </row>
    <row r="3661" spans="12:12" x14ac:dyDescent="0.25">
      <c r="L3661"/>
    </row>
    <row r="3662" spans="12:12" x14ac:dyDescent="0.25">
      <c r="L3662"/>
    </row>
    <row r="3663" spans="12:12" x14ac:dyDescent="0.25">
      <c r="L3663"/>
    </row>
    <row r="3664" spans="12:12" x14ac:dyDescent="0.25">
      <c r="L3664"/>
    </row>
    <row r="3665" spans="12:12" x14ac:dyDescent="0.25">
      <c r="L3665"/>
    </row>
    <row r="3666" spans="12:12" x14ac:dyDescent="0.25">
      <c r="L3666"/>
    </row>
    <row r="3667" spans="12:12" x14ac:dyDescent="0.25">
      <c r="L3667"/>
    </row>
    <row r="3668" spans="12:12" x14ac:dyDescent="0.25">
      <c r="L3668"/>
    </row>
    <row r="3669" spans="12:12" x14ac:dyDescent="0.25">
      <c r="L3669"/>
    </row>
    <row r="3670" spans="12:12" x14ac:dyDescent="0.25">
      <c r="L3670"/>
    </row>
    <row r="3671" spans="12:12" x14ac:dyDescent="0.25">
      <c r="L3671"/>
    </row>
    <row r="3672" spans="12:12" x14ac:dyDescent="0.25">
      <c r="L3672"/>
    </row>
    <row r="3673" spans="12:12" x14ac:dyDescent="0.25">
      <c r="L3673"/>
    </row>
    <row r="3674" spans="12:12" x14ac:dyDescent="0.25">
      <c r="L3674"/>
    </row>
    <row r="3675" spans="12:12" x14ac:dyDescent="0.25">
      <c r="L3675"/>
    </row>
    <row r="3676" spans="12:12" x14ac:dyDescent="0.25">
      <c r="L3676"/>
    </row>
    <row r="3677" spans="12:12" x14ac:dyDescent="0.25">
      <c r="L3677"/>
    </row>
    <row r="3678" spans="12:12" x14ac:dyDescent="0.25">
      <c r="L3678"/>
    </row>
    <row r="3679" spans="12:12" x14ac:dyDescent="0.25">
      <c r="L3679"/>
    </row>
    <row r="3680" spans="12:12" x14ac:dyDescent="0.25">
      <c r="L3680"/>
    </row>
    <row r="3681" spans="12:12" x14ac:dyDescent="0.25">
      <c r="L3681"/>
    </row>
    <row r="3682" spans="12:12" x14ac:dyDescent="0.25">
      <c r="L3682"/>
    </row>
    <row r="3683" spans="12:12" x14ac:dyDescent="0.25">
      <c r="L3683"/>
    </row>
    <row r="3684" spans="12:12" x14ac:dyDescent="0.25">
      <c r="L3684"/>
    </row>
    <row r="3685" spans="12:12" x14ac:dyDescent="0.25">
      <c r="L3685"/>
    </row>
    <row r="3686" spans="12:12" x14ac:dyDescent="0.25">
      <c r="L3686"/>
    </row>
    <row r="3687" spans="12:12" x14ac:dyDescent="0.25">
      <c r="L3687"/>
    </row>
    <row r="3688" spans="12:12" x14ac:dyDescent="0.25">
      <c r="L3688"/>
    </row>
    <row r="3689" spans="12:12" x14ac:dyDescent="0.25">
      <c r="L3689"/>
    </row>
    <row r="3690" spans="12:12" x14ac:dyDescent="0.25">
      <c r="L3690"/>
    </row>
    <row r="3691" spans="12:12" x14ac:dyDescent="0.25">
      <c r="L3691"/>
    </row>
    <row r="3692" spans="12:12" x14ac:dyDescent="0.25">
      <c r="L3692"/>
    </row>
    <row r="3693" spans="12:12" x14ac:dyDescent="0.25">
      <c r="L3693"/>
    </row>
    <row r="3694" spans="12:12" x14ac:dyDescent="0.25">
      <c r="L3694"/>
    </row>
    <row r="3695" spans="12:12" x14ac:dyDescent="0.25">
      <c r="L3695"/>
    </row>
    <row r="3696" spans="12:12" x14ac:dyDescent="0.25">
      <c r="L3696"/>
    </row>
    <row r="3697" spans="12:12" x14ac:dyDescent="0.25">
      <c r="L3697"/>
    </row>
    <row r="3698" spans="12:12" x14ac:dyDescent="0.25">
      <c r="L3698"/>
    </row>
    <row r="3699" spans="12:12" x14ac:dyDescent="0.25">
      <c r="L3699"/>
    </row>
    <row r="3700" spans="12:12" x14ac:dyDescent="0.25">
      <c r="L3700"/>
    </row>
    <row r="3701" spans="12:12" x14ac:dyDescent="0.25">
      <c r="L3701"/>
    </row>
    <row r="3702" spans="12:12" x14ac:dyDescent="0.25">
      <c r="L3702"/>
    </row>
    <row r="3703" spans="12:12" x14ac:dyDescent="0.25">
      <c r="L3703"/>
    </row>
    <row r="3704" spans="12:12" x14ac:dyDescent="0.25">
      <c r="L3704"/>
    </row>
    <row r="3705" spans="12:12" x14ac:dyDescent="0.25">
      <c r="L3705"/>
    </row>
    <row r="3706" spans="12:12" x14ac:dyDescent="0.25">
      <c r="L3706"/>
    </row>
    <row r="3707" spans="12:12" x14ac:dyDescent="0.25">
      <c r="L3707"/>
    </row>
    <row r="3708" spans="12:12" x14ac:dyDescent="0.25">
      <c r="L3708"/>
    </row>
    <row r="3709" spans="12:12" x14ac:dyDescent="0.25">
      <c r="L3709"/>
    </row>
    <row r="3710" spans="12:12" x14ac:dyDescent="0.25">
      <c r="L3710"/>
    </row>
    <row r="3711" spans="12:12" x14ac:dyDescent="0.25">
      <c r="L3711"/>
    </row>
    <row r="3712" spans="12:12" x14ac:dyDescent="0.25">
      <c r="L3712"/>
    </row>
    <row r="3713" spans="12:12" x14ac:dyDescent="0.25">
      <c r="L3713"/>
    </row>
    <row r="3714" spans="12:12" x14ac:dyDescent="0.25">
      <c r="L3714"/>
    </row>
    <row r="3715" spans="12:12" x14ac:dyDescent="0.25">
      <c r="L3715"/>
    </row>
    <row r="3716" spans="12:12" x14ac:dyDescent="0.25">
      <c r="L3716"/>
    </row>
    <row r="3717" spans="12:12" x14ac:dyDescent="0.25">
      <c r="L3717"/>
    </row>
    <row r="3718" spans="12:12" x14ac:dyDescent="0.25">
      <c r="L3718"/>
    </row>
    <row r="3719" spans="12:12" x14ac:dyDescent="0.25">
      <c r="L3719"/>
    </row>
    <row r="3720" spans="12:12" x14ac:dyDescent="0.25">
      <c r="L3720"/>
    </row>
    <row r="3721" spans="12:12" x14ac:dyDescent="0.25">
      <c r="L3721"/>
    </row>
    <row r="3722" spans="12:12" x14ac:dyDescent="0.25">
      <c r="L3722"/>
    </row>
    <row r="3723" spans="12:12" x14ac:dyDescent="0.25">
      <c r="L3723"/>
    </row>
    <row r="3724" spans="12:12" x14ac:dyDescent="0.25">
      <c r="L3724"/>
    </row>
    <row r="3725" spans="12:12" x14ac:dyDescent="0.25">
      <c r="L3725"/>
    </row>
    <row r="3726" spans="12:12" x14ac:dyDescent="0.25">
      <c r="L3726"/>
    </row>
    <row r="3727" spans="12:12" x14ac:dyDescent="0.25">
      <c r="L3727"/>
    </row>
    <row r="3728" spans="12:12" x14ac:dyDescent="0.25">
      <c r="L3728"/>
    </row>
    <row r="3729" spans="12:12" x14ac:dyDescent="0.25">
      <c r="L3729"/>
    </row>
    <row r="3730" spans="12:12" x14ac:dyDescent="0.25">
      <c r="L3730"/>
    </row>
    <row r="3731" spans="12:12" x14ac:dyDescent="0.25">
      <c r="L3731"/>
    </row>
    <row r="3732" spans="12:12" x14ac:dyDescent="0.25">
      <c r="L3732"/>
    </row>
    <row r="3733" spans="12:12" x14ac:dyDescent="0.25">
      <c r="L3733"/>
    </row>
    <row r="3734" spans="12:12" x14ac:dyDescent="0.25">
      <c r="L3734"/>
    </row>
    <row r="3735" spans="12:12" x14ac:dyDescent="0.25">
      <c r="L3735"/>
    </row>
    <row r="3736" spans="12:12" x14ac:dyDescent="0.25">
      <c r="L3736"/>
    </row>
    <row r="3737" spans="12:12" x14ac:dyDescent="0.25">
      <c r="L3737"/>
    </row>
    <row r="3738" spans="12:12" x14ac:dyDescent="0.25">
      <c r="L3738"/>
    </row>
    <row r="3739" spans="12:12" x14ac:dyDescent="0.25">
      <c r="L3739"/>
    </row>
    <row r="3740" spans="12:12" x14ac:dyDescent="0.25">
      <c r="L3740"/>
    </row>
    <row r="3741" spans="12:12" x14ac:dyDescent="0.25">
      <c r="L3741"/>
    </row>
    <row r="3742" spans="12:12" x14ac:dyDescent="0.25">
      <c r="L3742"/>
    </row>
    <row r="3743" spans="12:12" x14ac:dyDescent="0.25">
      <c r="L3743"/>
    </row>
    <row r="3744" spans="12:12" x14ac:dyDescent="0.25">
      <c r="L3744"/>
    </row>
    <row r="3745" spans="12:12" x14ac:dyDescent="0.25">
      <c r="L3745"/>
    </row>
    <row r="3746" spans="12:12" x14ac:dyDescent="0.25">
      <c r="L3746"/>
    </row>
    <row r="3747" spans="12:12" x14ac:dyDescent="0.25">
      <c r="L3747"/>
    </row>
    <row r="3748" spans="12:12" x14ac:dyDescent="0.25">
      <c r="L3748"/>
    </row>
    <row r="3749" spans="12:12" x14ac:dyDescent="0.25">
      <c r="L3749"/>
    </row>
    <row r="3750" spans="12:12" x14ac:dyDescent="0.25">
      <c r="L3750"/>
    </row>
    <row r="3751" spans="12:12" x14ac:dyDescent="0.25">
      <c r="L3751"/>
    </row>
    <row r="3752" spans="12:12" x14ac:dyDescent="0.25">
      <c r="L3752"/>
    </row>
    <row r="3753" spans="12:12" x14ac:dyDescent="0.25">
      <c r="L3753"/>
    </row>
    <row r="3754" spans="12:12" x14ac:dyDescent="0.25">
      <c r="L3754"/>
    </row>
    <row r="3755" spans="12:12" x14ac:dyDescent="0.25">
      <c r="L3755"/>
    </row>
    <row r="3756" spans="12:12" x14ac:dyDescent="0.25">
      <c r="L3756"/>
    </row>
    <row r="3757" spans="12:12" x14ac:dyDescent="0.25">
      <c r="L3757"/>
    </row>
    <row r="3758" spans="12:12" x14ac:dyDescent="0.25">
      <c r="L3758"/>
    </row>
    <row r="3759" spans="12:12" x14ac:dyDescent="0.25">
      <c r="L3759"/>
    </row>
    <row r="3760" spans="12:12" x14ac:dyDescent="0.25">
      <c r="L3760"/>
    </row>
    <row r="3761" spans="12:12" x14ac:dyDescent="0.25">
      <c r="L3761"/>
    </row>
    <row r="3762" spans="12:12" x14ac:dyDescent="0.25">
      <c r="L3762"/>
    </row>
    <row r="3763" spans="12:12" x14ac:dyDescent="0.25">
      <c r="L3763"/>
    </row>
    <row r="3764" spans="12:12" x14ac:dyDescent="0.25">
      <c r="L3764"/>
    </row>
    <row r="3765" spans="12:12" x14ac:dyDescent="0.25">
      <c r="L3765"/>
    </row>
    <row r="3766" spans="12:12" x14ac:dyDescent="0.25">
      <c r="L3766"/>
    </row>
    <row r="3767" spans="12:12" x14ac:dyDescent="0.25">
      <c r="L3767"/>
    </row>
    <row r="3768" spans="12:12" x14ac:dyDescent="0.25">
      <c r="L3768"/>
    </row>
    <row r="3769" spans="12:12" x14ac:dyDescent="0.25">
      <c r="L3769"/>
    </row>
    <row r="3770" spans="12:12" x14ac:dyDescent="0.25">
      <c r="L3770"/>
    </row>
    <row r="3771" spans="12:12" x14ac:dyDescent="0.25">
      <c r="L3771"/>
    </row>
    <row r="3772" spans="12:12" x14ac:dyDescent="0.25">
      <c r="L3772"/>
    </row>
    <row r="3773" spans="12:12" x14ac:dyDescent="0.25">
      <c r="L3773"/>
    </row>
    <row r="3774" spans="12:12" x14ac:dyDescent="0.25">
      <c r="L3774"/>
    </row>
    <row r="3775" spans="12:12" x14ac:dyDescent="0.25">
      <c r="L3775"/>
    </row>
    <row r="3776" spans="12:12" x14ac:dyDescent="0.25">
      <c r="L3776"/>
    </row>
    <row r="3777" spans="12:12" x14ac:dyDescent="0.25">
      <c r="L3777"/>
    </row>
    <row r="3778" spans="12:12" x14ac:dyDescent="0.25">
      <c r="L3778"/>
    </row>
    <row r="3779" spans="12:12" x14ac:dyDescent="0.25">
      <c r="L3779"/>
    </row>
    <row r="3780" spans="12:12" x14ac:dyDescent="0.25">
      <c r="L3780"/>
    </row>
    <row r="3781" spans="12:12" x14ac:dyDescent="0.25">
      <c r="L3781"/>
    </row>
    <row r="3782" spans="12:12" x14ac:dyDescent="0.25">
      <c r="L3782"/>
    </row>
    <row r="3783" spans="12:12" x14ac:dyDescent="0.25">
      <c r="L3783"/>
    </row>
    <row r="3784" spans="12:12" x14ac:dyDescent="0.25">
      <c r="L3784"/>
    </row>
    <row r="3785" spans="12:12" x14ac:dyDescent="0.25">
      <c r="L3785"/>
    </row>
    <row r="3786" spans="12:12" x14ac:dyDescent="0.25">
      <c r="L3786"/>
    </row>
    <row r="3787" spans="12:12" x14ac:dyDescent="0.25">
      <c r="L3787"/>
    </row>
    <row r="3788" spans="12:12" x14ac:dyDescent="0.25">
      <c r="L3788"/>
    </row>
    <row r="3789" spans="12:12" x14ac:dyDescent="0.25">
      <c r="L3789"/>
    </row>
    <row r="3790" spans="12:12" x14ac:dyDescent="0.25">
      <c r="L3790"/>
    </row>
    <row r="3791" spans="12:12" x14ac:dyDescent="0.25">
      <c r="L3791"/>
    </row>
    <row r="3792" spans="12:12" x14ac:dyDescent="0.25">
      <c r="L3792"/>
    </row>
    <row r="3793" spans="12:12" x14ac:dyDescent="0.25">
      <c r="L3793"/>
    </row>
    <row r="3794" spans="12:12" x14ac:dyDescent="0.25">
      <c r="L3794"/>
    </row>
    <row r="3795" spans="12:12" x14ac:dyDescent="0.25">
      <c r="L3795"/>
    </row>
    <row r="3796" spans="12:12" x14ac:dyDescent="0.25">
      <c r="L3796"/>
    </row>
    <row r="3797" spans="12:12" x14ac:dyDescent="0.25">
      <c r="L3797"/>
    </row>
    <row r="3798" spans="12:12" x14ac:dyDescent="0.25">
      <c r="L3798"/>
    </row>
    <row r="3799" spans="12:12" x14ac:dyDescent="0.25">
      <c r="L3799"/>
    </row>
    <row r="3800" spans="12:12" x14ac:dyDescent="0.25">
      <c r="L3800"/>
    </row>
    <row r="3801" spans="12:12" x14ac:dyDescent="0.25">
      <c r="L3801"/>
    </row>
    <row r="3802" spans="12:12" x14ac:dyDescent="0.25">
      <c r="L3802"/>
    </row>
    <row r="3803" spans="12:12" x14ac:dyDescent="0.25">
      <c r="L3803"/>
    </row>
    <row r="3804" spans="12:12" x14ac:dyDescent="0.25">
      <c r="L3804"/>
    </row>
    <row r="3805" spans="12:12" x14ac:dyDescent="0.25">
      <c r="L3805"/>
    </row>
    <row r="3806" spans="12:12" x14ac:dyDescent="0.25">
      <c r="L3806"/>
    </row>
    <row r="3807" spans="12:12" x14ac:dyDescent="0.25">
      <c r="L3807"/>
    </row>
    <row r="3808" spans="12:12" x14ac:dyDescent="0.25">
      <c r="L3808"/>
    </row>
    <row r="3809" spans="12:12" x14ac:dyDescent="0.25">
      <c r="L3809"/>
    </row>
    <row r="3810" spans="12:12" x14ac:dyDescent="0.25">
      <c r="L3810"/>
    </row>
    <row r="3811" spans="12:12" x14ac:dyDescent="0.25">
      <c r="L3811"/>
    </row>
    <row r="3812" spans="12:12" x14ac:dyDescent="0.25">
      <c r="L3812"/>
    </row>
    <row r="3813" spans="12:12" x14ac:dyDescent="0.25">
      <c r="L3813"/>
    </row>
    <row r="3814" spans="12:12" x14ac:dyDescent="0.25">
      <c r="L3814"/>
    </row>
    <row r="3815" spans="12:12" x14ac:dyDescent="0.25">
      <c r="L3815"/>
    </row>
    <row r="3816" spans="12:12" x14ac:dyDescent="0.25">
      <c r="L3816"/>
    </row>
    <row r="3817" spans="12:12" x14ac:dyDescent="0.25">
      <c r="L3817"/>
    </row>
    <row r="3818" spans="12:12" x14ac:dyDescent="0.25">
      <c r="L3818"/>
    </row>
    <row r="3819" spans="12:12" x14ac:dyDescent="0.25">
      <c r="L3819"/>
    </row>
    <row r="3820" spans="12:12" x14ac:dyDescent="0.25">
      <c r="L3820"/>
    </row>
    <row r="3821" spans="12:12" x14ac:dyDescent="0.25">
      <c r="L3821"/>
    </row>
    <row r="3822" spans="12:12" x14ac:dyDescent="0.25">
      <c r="L3822"/>
    </row>
    <row r="3823" spans="12:12" x14ac:dyDescent="0.25">
      <c r="L3823"/>
    </row>
    <row r="3824" spans="12:12" x14ac:dyDescent="0.25">
      <c r="L3824"/>
    </row>
    <row r="3825" spans="12:12" x14ac:dyDescent="0.25">
      <c r="L3825"/>
    </row>
    <row r="3826" spans="12:12" x14ac:dyDescent="0.25">
      <c r="L3826"/>
    </row>
    <row r="3827" spans="12:12" x14ac:dyDescent="0.25">
      <c r="L3827"/>
    </row>
    <row r="3828" spans="12:12" x14ac:dyDescent="0.25">
      <c r="L3828"/>
    </row>
    <row r="3829" spans="12:12" x14ac:dyDescent="0.25">
      <c r="L3829"/>
    </row>
    <row r="3830" spans="12:12" x14ac:dyDescent="0.25">
      <c r="L3830"/>
    </row>
    <row r="3831" spans="12:12" x14ac:dyDescent="0.25">
      <c r="L3831"/>
    </row>
    <row r="3832" spans="12:12" x14ac:dyDescent="0.25">
      <c r="L3832"/>
    </row>
    <row r="3833" spans="12:12" x14ac:dyDescent="0.25">
      <c r="L3833"/>
    </row>
    <row r="3834" spans="12:12" x14ac:dyDescent="0.25">
      <c r="L3834"/>
    </row>
    <row r="3835" spans="12:12" x14ac:dyDescent="0.25">
      <c r="L3835"/>
    </row>
    <row r="3836" spans="12:12" x14ac:dyDescent="0.25">
      <c r="L3836"/>
    </row>
    <row r="3837" spans="12:12" x14ac:dyDescent="0.25">
      <c r="L3837"/>
    </row>
    <row r="3838" spans="12:12" x14ac:dyDescent="0.25">
      <c r="L3838"/>
    </row>
    <row r="3839" spans="12:12" x14ac:dyDescent="0.25">
      <c r="L3839"/>
    </row>
    <row r="3840" spans="12:12" x14ac:dyDescent="0.25">
      <c r="L3840"/>
    </row>
    <row r="3841" spans="12:12" x14ac:dyDescent="0.25">
      <c r="L3841"/>
    </row>
    <row r="3842" spans="12:12" x14ac:dyDescent="0.25">
      <c r="L3842"/>
    </row>
    <row r="3843" spans="12:12" x14ac:dyDescent="0.25">
      <c r="L3843"/>
    </row>
    <row r="3844" spans="12:12" x14ac:dyDescent="0.25">
      <c r="L3844"/>
    </row>
    <row r="3845" spans="12:12" x14ac:dyDescent="0.25">
      <c r="L3845"/>
    </row>
    <row r="3846" spans="12:12" x14ac:dyDescent="0.25">
      <c r="L3846"/>
    </row>
    <row r="3847" spans="12:12" x14ac:dyDescent="0.25">
      <c r="L3847"/>
    </row>
    <row r="3848" spans="12:12" x14ac:dyDescent="0.25">
      <c r="L3848"/>
    </row>
    <row r="3849" spans="12:12" x14ac:dyDescent="0.25">
      <c r="L3849"/>
    </row>
    <row r="3850" spans="12:12" x14ac:dyDescent="0.25">
      <c r="L3850"/>
    </row>
    <row r="3851" spans="12:12" x14ac:dyDescent="0.25">
      <c r="L3851"/>
    </row>
    <row r="3852" spans="12:12" x14ac:dyDescent="0.25">
      <c r="L3852"/>
    </row>
    <row r="3853" spans="12:12" x14ac:dyDescent="0.25">
      <c r="L3853"/>
    </row>
    <row r="3854" spans="12:12" x14ac:dyDescent="0.25">
      <c r="L3854"/>
    </row>
    <row r="3855" spans="12:12" x14ac:dyDescent="0.25">
      <c r="L3855"/>
    </row>
    <row r="3856" spans="12:12" x14ac:dyDescent="0.25">
      <c r="L3856"/>
    </row>
    <row r="3857" spans="12:12" x14ac:dyDescent="0.25">
      <c r="L3857"/>
    </row>
    <row r="3858" spans="12:12" x14ac:dyDescent="0.25">
      <c r="L3858"/>
    </row>
    <row r="3859" spans="12:12" x14ac:dyDescent="0.25">
      <c r="L3859"/>
    </row>
    <row r="3860" spans="12:12" x14ac:dyDescent="0.25">
      <c r="L3860"/>
    </row>
    <row r="3861" spans="12:12" x14ac:dyDescent="0.25">
      <c r="L3861"/>
    </row>
    <row r="3862" spans="12:12" x14ac:dyDescent="0.25">
      <c r="L3862"/>
    </row>
    <row r="3863" spans="12:12" x14ac:dyDescent="0.25">
      <c r="L3863"/>
    </row>
    <row r="3864" spans="12:12" x14ac:dyDescent="0.25">
      <c r="L3864"/>
    </row>
    <row r="3865" spans="12:12" x14ac:dyDescent="0.25">
      <c r="L3865"/>
    </row>
    <row r="3866" spans="12:12" x14ac:dyDescent="0.25">
      <c r="L3866"/>
    </row>
    <row r="3867" spans="12:12" x14ac:dyDescent="0.25">
      <c r="L3867"/>
    </row>
    <row r="3868" spans="12:12" x14ac:dyDescent="0.25">
      <c r="L3868"/>
    </row>
    <row r="3869" spans="12:12" x14ac:dyDescent="0.25">
      <c r="L3869"/>
    </row>
    <row r="3870" spans="12:12" x14ac:dyDescent="0.25">
      <c r="L3870"/>
    </row>
    <row r="3871" spans="12:12" x14ac:dyDescent="0.25">
      <c r="L3871"/>
    </row>
    <row r="3872" spans="12:12" x14ac:dyDescent="0.25">
      <c r="L3872"/>
    </row>
    <row r="3873" spans="12:12" x14ac:dyDescent="0.25">
      <c r="L3873"/>
    </row>
    <row r="3874" spans="12:12" x14ac:dyDescent="0.25">
      <c r="L3874"/>
    </row>
    <row r="3875" spans="12:12" x14ac:dyDescent="0.25">
      <c r="L3875"/>
    </row>
    <row r="3876" spans="12:12" x14ac:dyDescent="0.25">
      <c r="L3876"/>
    </row>
    <row r="3877" spans="12:12" x14ac:dyDescent="0.25">
      <c r="L3877"/>
    </row>
    <row r="3878" spans="12:12" x14ac:dyDescent="0.25">
      <c r="L3878"/>
    </row>
    <row r="3879" spans="12:12" x14ac:dyDescent="0.25">
      <c r="L3879"/>
    </row>
    <row r="3880" spans="12:12" x14ac:dyDescent="0.25">
      <c r="L3880"/>
    </row>
    <row r="3881" spans="12:12" x14ac:dyDescent="0.25">
      <c r="L3881"/>
    </row>
    <row r="3882" spans="12:12" x14ac:dyDescent="0.25">
      <c r="L3882"/>
    </row>
    <row r="3883" spans="12:12" x14ac:dyDescent="0.25">
      <c r="L3883"/>
    </row>
    <row r="3884" spans="12:12" x14ac:dyDescent="0.25">
      <c r="L3884"/>
    </row>
    <row r="3885" spans="12:12" x14ac:dyDescent="0.25">
      <c r="L3885"/>
    </row>
    <row r="3886" spans="12:12" x14ac:dyDescent="0.25">
      <c r="L3886"/>
    </row>
    <row r="3887" spans="12:12" x14ac:dyDescent="0.25">
      <c r="L3887"/>
    </row>
    <row r="3888" spans="12:12" x14ac:dyDescent="0.25">
      <c r="L3888"/>
    </row>
    <row r="3889" spans="12:12" x14ac:dyDescent="0.25">
      <c r="L3889"/>
    </row>
    <row r="3890" spans="12:12" x14ac:dyDescent="0.25">
      <c r="L3890"/>
    </row>
    <row r="3891" spans="12:12" x14ac:dyDescent="0.25">
      <c r="L3891"/>
    </row>
    <row r="3892" spans="12:12" x14ac:dyDescent="0.25">
      <c r="L3892"/>
    </row>
    <row r="3893" spans="12:12" x14ac:dyDescent="0.25">
      <c r="L3893"/>
    </row>
    <row r="3894" spans="12:12" x14ac:dyDescent="0.25">
      <c r="L3894"/>
    </row>
    <row r="3895" spans="12:12" x14ac:dyDescent="0.25">
      <c r="L3895"/>
    </row>
    <row r="3896" spans="12:12" x14ac:dyDescent="0.25">
      <c r="L3896"/>
    </row>
    <row r="3897" spans="12:12" x14ac:dyDescent="0.25">
      <c r="L3897"/>
    </row>
    <row r="3898" spans="12:12" x14ac:dyDescent="0.25">
      <c r="L3898"/>
    </row>
    <row r="3899" spans="12:12" x14ac:dyDescent="0.25">
      <c r="L3899"/>
    </row>
    <row r="3900" spans="12:12" x14ac:dyDescent="0.25">
      <c r="L3900"/>
    </row>
    <row r="3901" spans="12:12" x14ac:dyDescent="0.25">
      <c r="L3901"/>
    </row>
    <row r="3902" spans="12:12" x14ac:dyDescent="0.25">
      <c r="L3902"/>
    </row>
    <row r="3903" spans="12:12" x14ac:dyDescent="0.25">
      <c r="L3903"/>
    </row>
    <row r="3904" spans="12:12" x14ac:dyDescent="0.25">
      <c r="L3904"/>
    </row>
    <row r="3905" spans="12:12" x14ac:dyDescent="0.25">
      <c r="L3905"/>
    </row>
    <row r="3906" spans="12:12" x14ac:dyDescent="0.25">
      <c r="L3906"/>
    </row>
    <row r="3907" spans="12:12" x14ac:dyDescent="0.25">
      <c r="L3907"/>
    </row>
    <row r="3908" spans="12:12" x14ac:dyDescent="0.25">
      <c r="L3908"/>
    </row>
    <row r="3909" spans="12:12" x14ac:dyDescent="0.25">
      <c r="L3909"/>
    </row>
    <row r="3910" spans="12:12" x14ac:dyDescent="0.25">
      <c r="L3910"/>
    </row>
    <row r="3911" spans="12:12" x14ac:dyDescent="0.25">
      <c r="L3911"/>
    </row>
    <row r="3912" spans="12:12" x14ac:dyDescent="0.25">
      <c r="L3912"/>
    </row>
    <row r="3913" spans="12:12" x14ac:dyDescent="0.25">
      <c r="L3913"/>
    </row>
    <row r="3914" spans="12:12" x14ac:dyDescent="0.25">
      <c r="L3914"/>
    </row>
    <row r="3915" spans="12:12" x14ac:dyDescent="0.25">
      <c r="L3915"/>
    </row>
    <row r="3916" spans="12:12" x14ac:dyDescent="0.25">
      <c r="L3916"/>
    </row>
    <row r="3917" spans="12:12" x14ac:dyDescent="0.25">
      <c r="L3917"/>
    </row>
    <row r="3918" spans="12:12" x14ac:dyDescent="0.25">
      <c r="L3918"/>
    </row>
    <row r="3919" spans="12:12" x14ac:dyDescent="0.25">
      <c r="L3919"/>
    </row>
    <row r="3920" spans="12:12" x14ac:dyDescent="0.25">
      <c r="L3920"/>
    </row>
    <row r="3921" spans="12:12" x14ac:dyDescent="0.25">
      <c r="L3921"/>
    </row>
    <row r="3922" spans="12:12" x14ac:dyDescent="0.25">
      <c r="L3922"/>
    </row>
    <row r="3923" spans="12:12" x14ac:dyDescent="0.25">
      <c r="L3923"/>
    </row>
    <row r="3924" spans="12:12" x14ac:dyDescent="0.25">
      <c r="L3924"/>
    </row>
    <row r="3925" spans="12:12" x14ac:dyDescent="0.25">
      <c r="L3925"/>
    </row>
    <row r="3926" spans="12:12" x14ac:dyDescent="0.25">
      <c r="L3926"/>
    </row>
    <row r="3927" spans="12:12" x14ac:dyDescent="0.25">
      <c r="L3927"/>
    </row>
    <row r="3928" spans="12:12" x14ac:dyDescent="0.25">
      <c r="L3928"/>
    </row>
    <row r="3929" spans="12:12" x14ac:dyDescent="0.25">
      <c r="L3929"/>
    </row>
    <row r="3930" spans="12:12" x14ac:dyDescent="0.25">
      <c r="L3930"/>
    </row>
    <row r="3931" spans="12:12" x14ac:dyDescent="0.25">
      <c r="L3931"/>
    </row>
    <row r="3932" spans="12:12" x14ac:dyDescent="0.25">
      <c r="L3932"/>
    </row>
    <row r="3933" spans="12:12" x14ac:dyDescent="0.25">
      <c r="L3933"/>
    </row>
    <row r="3934" spans="12:12" x14ac:dyDescent="0.25">
      <c r="L3934"/>
    </row>
    <row r="3935" spans="12:12" x14ac:dyDescent="0.25">
      <c r="L3935"/>
    </row>
    <row r="3936" spans="12:12" x14ac:dyDescent="0.25">
      <c r="L3936"/>
    </row>
    <row r="3937" spans="12:12" x14ac:dyDescent="0.25">
      <c r="L3937"/>
    </row>
    <row r="3938" spans="12:12" x14ac:dyDescent="0.25">
      <c r="L3938"/>
    </row>
    <row r="3939" spans="12:12" x14ac:dyDescent="0.25">
      <c r="L3939"/>
    </row>
    <row r="3940" spans="12:12" x14ac:dyDescent="0.25">
      <c r="L3940"/>
    </row>
    <row r="3941" spans="12:12" x14ac:dyDescent="0.25">
      <c r="L3941"/>
    </row>
    <row r="3942" spans="12:12" x14ac:dyDescent="0.25">
      <c r="L3942"/>
    </row>
    <row r="3943" spans="12:12" x14ac:dyDescent="0.25">
      <c r="L3943"/>
    </row>
    <row r="3944" spans="12:12" x14ac:dyDescent="0.25">
      <c r="L3944"/>
    </row>
    <row r="3945" spans="12:12" x14ac:dyDescent="0.25">
      <c r="L3945"/>
    </row>
    <row r="3946" spans="12:12" x14ac:dyDescent="0.25">
      <c r="L3946"/>
    </row>
    <row r="3947" spans="12:12" x14ac:dyDescent="0.25">
      <c r="L3947"/>
    </row>
    <row r="3948" spans="12:12" x14ac:dyDescent="0.25">
      <c r="L3948"/>
    </row>
    <row r="3949" spans="12:12" x14ac:dyDescent="0.25">
      <c r="L3949"/>
    </row>
    <row r="3950" spans="12:12" x14ac:dyDescent="0.25">
      <c r="L3950"/>
    </row>
    <row r="3951" spans="12:12" x14ac:dyDescent="0.25">
      <c r="L3951"/>
    </row>
    <row r="3952" spans="12:12" x14ac:dyDescent="0.25">
      <c r="L3952"/>
    </row>
    <row r="3953" spans="12:12" x14ac:dyDescent="0.25">
      <c r="L3953"/>
    </row>
    <row r="3954" spans="12:12" x14ac:dyDescent="0.25">
      <c r="L3954"/>
    </row>
    <row r="3955" spans="12:12" x14ac:dyDescent="0.25">
      <c r="L3955"/>
    </row>
    <row r="3956" spans="12:12" x14ac:dyDescent="0.25">
      <c r="L3956"/>
    </row>
    <row r="3957" spans="12:12" x14ac:dyDescent="0.25">
      <c r="L3957"/>
    </row>
    <row r="3958" spans="12:12" x14ac:dyDescent="0.25">
      <c r="L3958"/>
    </row>
    <row r="3959" spans="12:12" x14ac:dyDescent="0.25">
      <c r="L3959"/>
    </row>
    <row r="3960" spans="12:12" x14ac:dyDescent="0.25">
      <c r="L3960"/>
    </row>
    <row r="3961" spans="12:12" x14ac:dyDescent="0.25">
      <c r="L3961"/>
    </row>
    <row r="3962" spans="12:12" x14ac:dyDescent="0.25">
      <c r="L3962"/>
    </row>
    <row r="3963" spans="12:12" x14ac:dyDescent="0.25">
      <c r="L3963"/>
    </row>
    <row r="3964" spans="12:12" x14ac:dyDescent="0.25">
      <c r="L3964"/>
    </row>
    <row r="3965" spans="12:12" x14ac:dyDescent="0.25">
      <c r="L3965"/>
    </row>
    <row r="3966" spans="12:12" x14ac:dyDescent="0.25">
      <c r="L3966"/>
    </row>
    <row r="3967" spans="12:12" x14ac:dyDescent="0.25">
      <c r="L3967"/>
    </row>
    <row r="3968" spans="12:12" x14ac:dyDescent="0.25">
      <c r="L3968"/>
    </row>
    <row r="3969" spans="12:12" x14ac:dyDescent="0.25">
      <c r="L3969"/>
    </row>
    <row r="3970" spans="12:12" x14ac:dyDescent="0.25">
      <c r="L3970"/>
    </row>
    <row r="3971" spans="12:12" x14ac:dyDescent="0.25">
      <c r="L3971"/>
    </row>
    <row r="3972" spans="12:12" x14ac:dyDescent="0.25">
      <c r="L3972"/>
    </row>
    <row r="3973" spans="12:12" x14ac:dyDescent="0.25">
      <c r="L3973"/>
    </row>
    <row r="3974" spans="12:12" x14ac:dyDescent="0.25">
      <c r="L3974"/>
    </row>
    <row r="3975" spans="12:12" x14ac:dyDescent="0.25">
      <c r="L3975"/>
    </row>
    <row r="3976" spans="12:12" x14ac:dyDescent="0.25">
      <c r="L3976"/>
    </row>
    <row r="3977" spans="12:12" x14ac:dyDescent="0.25">
      <c r="L3977"/>
    </row>
    <row r="3978" spans="12:12" x14ac:dyDescent="0.25">
      <c r="L3978"/>
    </row>
    <row r="3979" spans="12:12" x14ac:dyDescent="0.25">
      <c r="L3979"/>
    </row>
    <row r="3980" spans="12:12" x14ac:dyDescent="0.25">
      <c r="L3980"/>
    </row>
    <row r="3981" spans="12:12" x14ac:dyDescent="0.25">
      <c r="L3981"/>
    </row>
    <row r="3982" spans="12:12" x14ac:dyDescent="0.25">
      <c r="L3982"/>
    </row>
    <row r="3983" spans="12:12" x14ac:dyDescent="0.25">
      <c r="L3983"/>
    </row>
    <row r="3984" spans="12:12" x14ac:dyDescent="0.25">
      <c r="L3984"/>
    </row>
    <row r="3985" spans="12:12" x14ac:dyDescent="0.25">
      <c r="L3985"/>
    </row>
    <row r="3986" spans="12:12" x14ac:dyDescent="0.25">
      <c r="L3986"/>
    </row>
    <row r="3987" spans="12:12" x14ac:dyDescent="0.25">
      <c r="L3987"/>
    </row>
    <row r="3988" spans="12:12" x14ac:dyDescent="0.25">
      <c r="L3988"/>
    </row>
    <row r="3989" spans="12:12" x14ac:dyDescent="0.25">
      <c r="L3989"/>
    </row>
    <row r="3990" spans="12:12" x14ac:dyDescent="0.25">
      <c r="L3990"/>
    </row>
    <row r="3991" spans="12:12" x14ac:dyDescent="0.25">
      <c r="L3991"/>
    </row>
    <row r="3992" spans="12:12" x14ac:dyDescent="0.25">
      <c r="L3992"/>
    </row>
    <row r="3993" spans="12:12" x14ac:dyDescent="0.25">
      <c r="L3993"/>
    </row>
    <row r="3994" spans="12:12" x14ac:dyDescent="0.25">
      <c r="L3994"/>
    </row>
    <row r="3995" spans="12:12" x14ac:dyDescent="0.25">
      <c r="L3995"/>
    </row>
    <row r="3996" spans="12:12" x14ac:dyDescent="0.25">
      <c r="L3996"/>
    </row>
    <row r="3997" spans="12:12" x14ac:dyDescent="0.25">
      <c r="L3997"/>
    </row>
    <row r="3998" spans="12:12" x14ac:dyDescent="0.25">
      <c r="L3998"/>
    </row>
    <row r="3999" spans="12:12" x14ac:dyDescent="0.25">
      <c r="L3999"/>
    </row>
    <row r="4000" spans="12:12" x14ac:dyDescent="0.25">
      <c r="L4000"/>
    </row>
    <row r="4001" spans="12:12" x14ac:dyDescent="0.25">
      <c r="L4001"/>
    </row>
    <row r="4002" spans="12:12" x14ac:dyDescent="0.25">
      <c r="L4002"/>
    </row>
    <row r="4003" spans="12:12" x14ac:dyDescent="0.25">
      <c r="L4003"/>
    </row>
    <row r="4004" spans="12:12" x14ac:dyDescent="0.25">
      <c r="L4004"/>
    </row>
    <row r="4005" spans="12:12" x14ac:dyDescent="0.25">
      <c r="L4005"/>
    </row>
    <row r="4006" spans="12:12" x14ac:dyDescent="0.25">
      <c r="L4006"/>
    </row>
    <row r="4007" spans="12:12" x14ac:dyDescent="0.25">
      <c r="L4007"/>
    </row>
    <row r="4008" spans="12:12" x14ac:dyDescent="0.25">
      <c r="L4008"/>
    </row>
    <row r="4009" spans="12:12" x14ac:dyDescent="0.25">
      <c r="L4009"/>
    </row>
    <row r="4010" spans="12:12" x14ac:dyDescent="0.25">
      <c r="L4010"/>
    </row>
    <row r="4011" spans="12:12" x14ac:dyDescent="0.25">
      <c r="L4011"/>
    </row>
    <row r="4012" spans="12:12" x14ac:dyDescent="0.25">
      <c r="L4012"/>
    </row>
    <row r="4013" spans="12:12" x14ac:dyDescent="0.25">
      <c r="L4013"/>
    </row>
    <row r="4014" spans="12:12" x14ac:dyDescent="0.25">
      <c r="L4014"/>
    </row>
    <row r="4015" spans="12:12" x14ac:dyDescent="0.25">
      <c r="L4015"/>
    </row>
    <row r="4016" spans="12:12" x14ac:dyDescent="0.25">
      <c r="L4016"/>
    </row>
    <row r="4017" spans="12:12" x14ac:dyDescent="0.25">
      <c r="L4017"/>
    </row>
    <row r="4018" spans="12:12" x14ac:dyDescent="0.25">
      <c r="L4018"/>
    </row>
    <row r="4019" spans="12:12" x14ac:dyDescent="0.25">
      <c r="L4019"/>
    </row>
    <row r="4020" spans="12:12" x14ac:dyDescent="0.25">
      <c r="L4020"/>
    </row>
    <row r="4021" spans="12:12" x14ac:dyDescent="0.25">
      <c r="L4021"/>
    </row>
    <row r="4022" spans="12:12" x14ac:dyDescent="0.25">
      <c r="L4022"/>
    </row>
    <row r="4023" spans="12:12" x14ac:dyDescent="0.25">
      <c r="L4023"/>
    </row>
    <row r="4024" spans="12:12" x14ac:dyDescent="0.25">
      <c r="L4024"/>
    </row>
    <row r="4025" spans="12:12" x14ac:dyDescent="0.25">
      <c r="L4025"/>
    </row>
    <row r="4026" spans="12:12" x14ac:dyDescent="0.25">
      <c r="L4026"/>
    </row>
    <row r="4027" spans="12:12" x14ac:dyDescent="0.25">
      <c r="L4027"/>
    </row>
    <row r="4028" spans="12:12" x14ac:dyDescent="0.25">
      <c r="L4028"/>
    </row>
    <row r="4029" spans="12:12" x14ac:dyDescent="0.25">
      <c r="L4029"/>
    </row>
    <row r="4030" spans="12:12" x14ac:dyDescent="0.25">
      <c r="L4030"/>
    </row>
    <row r="4031" spans="12:12" x14ac:dyDescent="0.25">
      <c r="L4031"/>
    </row>
    <row r="4032" spans="12:12" x14ac:dyDescent="0.25">
      <c r="L4032"/>
    </row>
    <row r="4033" spans="12:12" x14ac:dyDescent="0.25">
      <c r="L4033"/>
    </row>
    <row r="4034" spans="12:12" x14ac:dyDescent="0.25">
      <c r="L4034"/>
    </row>
    <row r="4035" spans="12:12" x14ac:dyDescent="0.25">
      <c r="L4035"/>
    </row>
    <row r="4036" spans="12:12" x14ac:dyDescent="0.25">
      <c r="L4036"/>
    </row>
    <row r="4037" spans="12:12" x14ac:dyDescent="0.25">
      <c r="L4037"/>
    </row>
    <row r="4038" spans="12:12" x14ac:dyDescent="0.25">
      <c r="L4038"/>
    </row>
    <row r="4039" spans="12:12" x14ac:dyDescent="0.25">
      <c r="L4039"/>
    </row>
    <row r="4040" spans="12:12" x14ac:dyDescent="0.25">
      <c r="L4040"/>
    </row>
    <row r="4041" spans="12:12" x14ac:dyDescent="0.25">
      <c r="L4041"/>
    </row>
    <row r="4042" spans="12:12" x14ac:dyDescent="0.25">
      <c r="L4042"/>
    </row>
    <row r="4043" spans="12:12" x14ac:dyDescent="0.25">
      <c r="L4043"/>
    </row>
    <row r="4044" spans="12:12" x14ac:dyDescent="0.25">
      <c r="L4044"/>
    </row>
    <row r="4045" spans="12:12" x14ac:dyDescent="0.25">
      <c r="L4045"/>
    </row>
    <row r="4046" spans="12:12" x14ac:dyDescent="0.25">
      <c r="L4046"/>
    </row>
    <row r="4047" spans="12:12" x14ac:dyDescent="0.25">
      <c r="L4047"/>
    </row>
    <row r="4048" spans="12:12" x14ac:dyDescent="0.25">
      <c r="L4048"/>
    </row>
    <row r="4049" spans="12:12" x14ac:dyDescent="0.25">
      <c r="L4049"/>
    </row>
    <row r="4050" spans="12:12" x14ac:dyDescent="0.25">
      <c r="L4050"/>
    </row>
    <row r="4051" spans="12:12" x14ac:dyDescent="0.25">
      <c r="L4051"/>
    </row>
    <row r="4052" spans="12:12" x14ac:dyDescent="0.25">
      <c r="L4052"/>
    </row>
    <row r="4053" spans="12:12" x14ac:dyDescent="0.25">
      <c r="L4053"/>
    </row>
    <row r="4054" spans="12:12" x14ac:dyDescent="0.25">
      <c r="L4054"/>
    </row>
    <row r="4055" spans="12:12" x14ac:dyDescent="0.25">
      <c r="L4055"/>
    </row>
    <row r="4056" spans="12:12" x14ac:dyDescent="0.25">
      <c r="L4056"/>
    </row>
    <row r="4057" spans="12:12" x14ac:dyDescent="0.25">
      <c r="L4057"/>
    </row>
    <row r="4058" spans="12:12" x14ac:dyDescent="0.25">
      <c r="L4058"/>
    </row>
    <row r="4059" spans="12:12" x14ac:dyDescent="0.25">
      <c r="L4059"/>
    </row>
    <row r="4060" spans="12:12" x14ac:dyDescent="0.25">
      <c r="L4060"/>
    </row>
    <row r="4061" spans="12:12" x14ac:dyDescent="0.25">
      <c r="L4061"/>
    </row>
    <row r="4062" spans="12:12" x14ac:dyDescent="0.25">
      <c r="L4062"/>
    </row>
    <row r="4063" spans="12:12" x14ac:dyDescent="0.25">
      <c r="L4063"/>
    </row>
    <row r="4064" spans="12:12" x14ac:dyDescent="0.25">
      <c r="L4064"/>
    </row>
    <row r="4065" spans="12:12" x14ac:dyDescent="0.25">
      <c r="L4065"/>
    </row>
    <row r="4066" spans="12:12" x14ac:dyDescent="0.25">
      <c r="L4066"/>
    </row>
    <row r="4067" spans="12:12" x14ac:dyDescent="0.25">
      <c r="L4067"/>
    </row>
    <row r="4068" spans="12:12" x14ac:dyDescent="0.25">
      <c r="L4068"/>
    </row>
    <row r="4069" spans="12:12" x14ac:dyDescent="0.25">
      <c r="L4069"/>
    </row>
    <row r="4070" spans="12:12" x14ac:dyDescent="0.25">
      <c r="L4070"/>
    </row>
    <row r="4071" spans="12:12" x14ac:dyDescent="0.25">
      <c r="L4071"/>
    </row>
    <row r="4072" spans="12:12" x14ac:dyDescent="0.25">
      <c r="L4072"/>
    </row>
    <row r="4073" spans="12:12" x14ac:dyDescent="0.25">
      <c r="L4073"/>
    </row>
    <row r="4074" spans="12:12" x14ac:dyDescent="0.25">
      <c r="L4074"/>
    </row>
    <row r="4075" spans="12:12" x14ac:dyDescent="0.25">
      <c r="L4075"/>
    </row>
    <row r="4076" spans="12:12" x14ac:dyDescent="0.25">
      <c r="L4076"/>
    </row>
    <row r="4077" spans="12:12" x14ac:dyDescent="0.25">
      <c r="L4077"/>
    </row>
    <row r="4078" spans="12:12" x14ac:dyDescent="0.25">
      <c r="L4078"/>
    </row>
    <row r="4079" spans="12:12" x14ac:dyDescent="0.25">
      <c r="L4079"/>
    </row>
    <row r="4080" spans="12:12" x14ac:dyDescent="0.25">
      <c r="L4080"/>
    </row>
    <row r="4081" spans="12:12" x14ac:dyDescent="0.25">
      <c r="L4081"/>
    </row>
    <row r="4082" spans="12:12" x14ac:dyDescent="0.25">
      <c r="L4082"/>
    </row>
    <row r="4083" spans="12:12" x14ac:dyDescent="0.25">
      <c r="L4083"/>
    </row>
    <row r="4084" spans="12:12" x14ac:dyDescent="0.25">
      <c r="L4084"/>
    </row>
    <row r="4085" spans="12:12" x14ac:dyDescent="0.25">
      <c r="L4085"/>
    </row>
    <row r="4086" spans="12:12" x14ac:dyDescent="0.25">
      <c r="L4086"/>
    </row>
    <row r="4087" spans="12:12" x14ac:dyDescent="0.25">
      <c r="L4087"/>
    </row>
    <row r="4088" spans="12:12" x14ac:dyDescent="0.25">
      <c r="L4088"/>
    </row>
    <row r="4089" spans="12:12" x14ac:dyDescent="0.25">
      <c r="L4089"/>
    </row>
    <row r="4090" spans="12:12" x14ac:dyDescent="0.25">
      <c r="L4090"/>
    </row>
    <row r="4091" spans="12:12" x14ac:dyDescent="0.25">
      <c r="L4091"/>
    </row>
    <row r="4092" spans="12:12" x14ac:dyDescent="0.25">
      <c r="L4092"/>
    </row>
    <row r="4093" spans="12:12" x14ac:dyDescent="0.25">
      <c r="L4093"/>
    </row>
    <row r="4094" spans="12:12" x14ac:dyDescent="0.25">
      <c r="L4094"/>
    </row>
    <row r="4095" spans="12:12" x14ac:dyDescent="0.25">
      <c r="L4095"/>
    </row>
    <row r="4096" spans="12:12" x14ac:dyDescent="0.25">
      <c r="L4096"/>
    </row>
    <row r="4097" spans="12:12" x14ac:dyDescent="0.25">
      <c r="L4097"/>
    </row>
    <row r="4098" spans="12:12" x14ac:dyDescent="0.25">
      <c r="L4098"/>
    </row>
    <row r="4099" spans="12:12" x14ac:dyDescent="0.25">
      <c r="L4099"/>
    </row>
    <row r="4100" spans="12:12" x14ac:dyDescent="0.25">
      <c r="L4100"/>
    </row>
    <row r="4101" spans="12:12" x14ac:dyDescent="0.25">
      <c r="L4101"/>
    </row>
    <row r="4102" spans="12:12" x14ac:dyDescent="0.25">
      <c r="L4102"/>
    </row>
    <row r="4103" spans="12:12" x14ac:dyDescent="0.25">
      <c r="L4103"/>
    </row>
    <row r="4104" spans="12:12" x14ac:dyDescent="0.25">
      <c r="L4104"/>
    </row>
    <row r="4105" spans="12:12" x14ac:dyDescent="0.25">
      <c r="L4105"/>
    </row>
    <row r="4106" spans="12:12" x14ac:dyDescent="0.25">
      <c r="L4106"/>
    </row>
    <row r="4107" spans="12:12" x14ac:dyDescent="0.25">
      <c r="L4107"/>
    </row>
    <row r="4108" spans="12:12" x14ac:dyDescent="0.25">
      <c r="L4108"/>
    </row>
    <row r="4109" spans="12:12" x14ac:dyDescent="0.25">
      <c r="L4109"/>
    </row>
    <row r="4110" spans="12:12" x14ac:dyDescent="0.25">
      <c r="L4110"/>
    </row>
    <row r="4111" spans="12:12" x14ac:dyDescent="0.25">
      <c r="L4111"/>
    </row>
    <row r="4112" spans="12:12" x14ac:dyDescent="0.25">
      <c r="L4112"/>
    </row>
    <row r="4113" spans="12:12" x14ac:dyDescent="0.25">
      <c r="L4113"/>
    </row>
    <row r="4114" spans="12:12" x14ac:dyDescent="0.25">
      <c r="L4114"/>
    </row>
    <row r="4115" spans="12:12" x14ac:dyDescent="0.25">
      <c r="L4115"/>
    </row>
    <row r="4116" spans="12:12" x14ac:dyDescent="0.25">
      <c r="L4116"/>
    </row>
    <row r="4117" spans="12:12" x14ac:dyDescent="0.25">
      <c r="L4117"/>
    </row>
    <row r="4118" spans="12:12" x14ac:dyDescent="0.25">
      <c r="L4118"/>
    </row>
    <row r="4119" spans="12:12" x14ac:dyDescent="0.25">
      <c r="L4119"/>
    </row>
    <row r="4120" spans="12:12" x14ac:dyDescent="0.25">
      <c r="L4120"/>
    </row>
    <row r="4121" spans="12:12" x14ac:dyDescent="0.25">
      <c r="L4121"/>
    </row>
    <row r="4122" spans="12:12" x14ac:dyDescent="0.25">
      <c r="L4122"/>
    </row>
    <row r="4123" spans="12:12" x14ac:dyDescent="0.25">
      <c r="L4123"/>
    </row>
    <row r="4124" spans="12:12" x14ac:dyDescent="0.25">
      <c r="L4124"/>
    </row>
    <row r="4125" spans="12:12" x14ac:dyDescent="0.25">
      <c r="L4125"/>
    </row>
    <row r="4126" spans="12:12" x14ac:dyDescent="0.25">
      <c r="L4126"/>
    </row>
    <row r="4127" spans="12:12" x14ac:dyDescent="0.25">
      <c r="L4127"/>
    </row>
    <row r="4128" spans="12:12" x14ac:dyDescent="0.25">
      <c r="L4128"/>
    </row>
    <row r="4129" spans="12:12" x14ac:dyDescent="0.25">
      <c r="L4129"/>
    </row>
    <row r="4130" spans="12:12" x14ac:dyDescent="0.25">
      <c r="L4130"/>
    </row>
    <row r="4131" spans="12:12" x14ac:dyDescent="0.25">
      <c r="L4131"/>
    </row>
    <row r="4132" spans="12:12" x14ac:dyDescent="0.25">
      <c r="L4132"/>
    </row>
    <row r="4133" spans="12:12" x14ac:dyDescent="0.25">
      <c r="L4133"/>
    </row>
    <row r="4134" spans="12:12" x14ac:dyDescent="0.25">
      <c r="L4134"/>
    </row>
    <row r="4135" spans="12:12" x14ac:dyDescent="0.25">
      <c r="L4135"/>
    </row>
    <row r="4136" spans="12:12" x14ac:dyDescent="0.25">
      <c r="L4136"/>
    </row>
    <row r="4137" spans="12:12" x14ac:dyDescent="0.25">
      <c r="L4137"/>
    </row>
    <row r="4138" spans="12:12" x14ac:dyDescent="0.25">
      <c r="L4138"/>
    </row>
    <row r="4139" spans="12:12" x14ac:dyDescent="0.25">
      <c r="L4139"/>
    </row>
    <row r="4140" spans="12:12" x14ac:dyDescent="0.25">
      <c r="L4140"/>
    </row>
    <row r="4141" spans="12:12" x14ac:dyDescent="0.25">
      <c r="L4141"/>
    </row>
    <row r="4142" spans="12:12" x14ac:dyDescent="0.25">
      <c r="L4142"/>
    </row>
    <row r="4143" spans="12:12" x14ac:dyDescent="0.25">
      <c r="L4143"/>
    </row>
    <row r="4144" spans="12:12" x14ac:dyDescent="0.25">
      <c r="L4144"/>
    </row>
    <row r="4145" spans="12:12" x14ac:dyDescent="0.25">
      <c r="L4145"/>
    </row>
    <row r="4146" spans="12:12" x14ac:dyDescent="0.25">
      <c r="L4146"/>
    </row>
    <row r="4147" spans="12:12" x14ac:dyDescent="0.25">
      <c r="L4147"/>
    </row>
    <row r="4148" spans="12:12" x14ac:dyDescent="0.25">
      <c r="L4148"/>
    </row>
    <row r="4149" spans="12:12" x14ac:dyDescent="0.25">
      <c r="L4149"/>
    </row>
    <row r="4150" spans="12:12" x14ac:dyDescent="0.25">
      <c r="L4150"/>
    </row>
    <row r="4151" spans="12:12" x14ac:dyDescent="0.25">
      <c r="L4151"/>
    </row>
    <row r="4152" spans="12:12" x14ac:dyDescent="0.25">
      <c r="L4152"/>
    </row>
    <row r="4153" spans="12:12" x14ac:dyDescent="0.25">
      <c r="L4153"/>
    </row>
    <row r="4154" spans="12:12" x14ac:dyDescent="0.25">
      <c r="L4154"/>
    </row>
    <row r="4155" spans="12:12" x14ac:dyDescent="0.25">
      <c r="L4155"/>
    </row>
    <row r="4156" spans="12:12" x14ac:dyDescent="0.25">
      <c r="L4156"/>
    </row>
    <row r="4157" spans="12:12" x14ac:dyDescent="0.25">
      <c r="L4157"/>
    </row>
    <row r="4158" spans="12:12" x14ac:dyDescent="0.25">
      <c r="L4158"/>
    </row>
    <row r="4159" spans="12:12" x14ac:dyDescent="0.25">
      <c r="L4159"/>
    </row>
    <row r="4160" spans="12:12" x14ac:dyDescent="0.25">
      <c r="L4160"/>
    </row>
    <row r="4161" spans="12:12" x14ac:dyDescent="0.25">
      <c r="L4161"/>
    </row>
    <row r="4162" spans="12:12" x14ac:dyDescent="0.25">
      <c r="L4162"/>
    </row>
    <row r="4163" spans="12:12" x14ac:dyDescent="0.25">
      <c r="L4163"/>
    </row>
    <row r="4164" spans="12:12" x14ac:dyDescent="0.25">
      <c r="L4164"/>
    </row>
    <row r="4165" spans="12:12" x14ac:dyDescent="0.25">
      <c r="L4165"/>
    </row>
    <row r="4166" spans="12:12" x14ac:dyDescent="0.25">
      <c r="L4166"/>
    </row>
    <row r="4167" spans="12:12" x14ac:dyDescent="0.25">
      <c r="L4167"/>
    </row>
    <row r="4168" spans="12:12" x14ac:dyDescent="0.25">
      <c r="L4168"/>
    </row>
    <row r="4169" spans="12:12" x14ac:dyDescent="0.25">
      <c r="L4169"/>
    </row>
    <row r="4170" spans="12:12" x14ac:dyDescent="0.25">
      <c r="L4170"/>
    </row>
    <row r="4171" spans="12:12" x14ac:dyDescent="0.25">
      <c r="L4171"/>
    </row>
    <row r="4172" spans="12:12" x14ac:dyDescent="0.25">
      <c r="L4172"/>
    </row>
    <row r="4173" spans="12:12" x14ac:dyDescent="0.25">
      <c r="L4173"/>
    </row>
    <row r="4174" spans="12:12" x14ac:dyDescent="0.25">
      <c r="L4174"/>
    </row>
    <row r="4175" spans="12:12" x14ac:dyDescent="0.25">
      <c r="L4175"/>
    </row>
    <row r="4176" spans="12:12" x14ac:dyDescent="0.25">
      <c r="L4176"/>
    </row>
    <row r="4177" spans="12:12" x14ac:dyDescent="0.25">
      <c r="L4177"/>
    </row>
    <row r="4178" spans="12:12" x14ac:dyDescent="0.25">
      <c r="L4178"/>
    </row>
    <row r="4179" spans="12:12" x14ac:dyDescent="0.25">
      <c r="L4179"/>
    </row>
    <row r="4180" spans="12:12" x14ac:dyDescent="0.25">
      <c r="L4180"/>
    </row>
    <row r="4181" spans="12:12" x14ac:dyDescent="0.25">
      <c r="L4181"/>
    </row>
    <row r="4182" spans="12:12" x14ac:dyDescent="0.25">
      <c r="L4182"/>
    </row>
    <row r="4183" spans="12:12" x14ac:dyDescent="0.25">
      <c r="L4183"/>
    </row>
    <row r="4184" spans="12:12" x14ac:dyDescent="0.25">
      <c r="L4184"/>
    </row>
    <row r="4185" spans="12:12" x14ac:dyDescent="0.25">
      <c r="L4185"/>
    </row>
    <row r="4186" spans="12:12" x14ac:dyDescent="0.25">
      <c r="L4186"/>
    </row>
    <row r="4187" spans="12:12" x14ac:dyDescent="0.25">
      <c r="L4187"/>
    </row>
    <row r="4188" spans="12:12" x14ac:dyDescent="0.25">
      <c r="L4188"/>
    </row>
    <row r="4189" spans="12:12" x14ac:dyDescent="0.25">
      <c r="L4189"/>
    </row>
    <row r="4190" spans="12:12" x14ac:dyDescent="0.25">
      <c r="L4190"/>
    </row>
    <row r="4191" spans="12:12" x14ac:dyDescent="0.25">
      <c r="L4191"/>
    </row>
    <row r="4192" spans="12:12" x14ac:dyDescent="0.25">
      <c r="L4192"/>
    </row>
    <row r="4193" spans="12:12" x14ac:dyDescent="0.25">
      <c r="L4193"/>
    </row>
    <row r="4194" spans="12:12" x14ac:dyDescent="0.25">
      <c r="L4194"/>
    </row>
    <row r="4195" spans="12:12" x14ac:dyDescent="0.25">
      <c r="L4195"/>
    </row>
    <row r="4196" spans="12:12" x14ac:dyDescent="0.25">
      <c r="L4196"/>
    </row>
    <row r="4197" spans="12:12" x14ac:dyDescent="0.25">
      <c r="L4197"/>
    </row>
    <row r="4198" spans="12:12" x14ac:dyDescent="0.25">
      <c r="L4198"/>
    </row>
    <row r="4199" spans="12:12" x14ac:dyDescent="0.25">
      <c r="L4199"/>
    </row>
    <row r="4200" spans="12:12" x14ac:dyDescent="0.25">
      <c r="L4200"/>
    </row>
    <row r="4201" spans="12:12" x14ac:dyDescent="0.25">
      <c r="L4201"/>
    </row>
    <row r="4202" spans="12:12" x14ac:dyDescent="0.25">
      <c r="L4202"/>
    </row>
    <row r="4203" spans="12:12" x14ac:dyDescent="0.25">
      <c r="L4203"/>
    </row>
    <row r="4204" spans="12:12" x14ac:dyDescent="0.25">
      <c r="L4204"/>
    </row>
    <row r="4205" spans="12:12" x14ac:dyDescent="0.25">
      <c r="L4205"/>
    </row>
    <row r="4206" spans="12:12" x14ac:dyDescent="0.25">
      <c r="L4206"/>
    </row>
    <row r="4207" spans="12:12" x14ac:dyDescent="0.25">
      <c r="L4207"/>
    </row>
    <row r="4208" spans="12:12" x14ac:dyDescent="0.25">
      <c r="L4208"/>
    </row>
    <row r="4209" spans="12:12" x14ac:dyDescent="0.25">
      <c r="L4209"/>
    </row>
    <row r="4210" spans="12:12" x14ac:dyDescent="0.25">
      <c r="L4210"/>
    </row>
    <row r="4211" spans="12:12" x14ac:dyDescent="0.25">
      <c r="L4211"/>
    </row>
    <row r="4212" spans="12:12" x14ac:dyDescent="0.25">
      <c r="L4212"/>
    </row>
    <row r="4213" spans="12:12" x14ac:dyDescent="0.25">
      <c r="L4213"/>
    </row>
    <row r="4214" spans="12:12" x14ac:dyDescent="0.25">
      <c r="L4214"/>
    </row>
    <row r="4215" spans="12:12" x14ac:dyDescent="0.25">
      <c r="L4215"/>
    </row>
    <row r="4216" spans="12:12" x14ac:dyDescent="0.25">
      <c r="L4216"/>
    </row>
    <row r="4217" spans="12:12" x14ac:dyDescent="0.25">
      <c r="L4217"/>
    </row>
    <row r="4218" spans="12:12" x14ac:dyDescent="0.25">
      <c r="L4218"/>
    </row>
    <row r="4219" spans="12:12" x14ac:dyDescent="0.25">
      <c r="L4219"/>
    </row>
    <row r="4220" spans="12:12" x14ac:dyDescent="0.25">
      <c r="L4220"/>
    </row>
    <row r="4221" spans="12:12" x14ac:dyDescent="0.25">
      <c r="L4221"/>
    </row>
    <row r="4222" spans="12:12" x14ac:dyDescent="0.25">
      <c r="L4222"/>
    </row>
    <row r="4223" spans="12:12" x14ac:dyDescent="0.25">
      <c r="L4223"/>
    </row>
    <row r="4224" spans="12:12" x14ac:dyDescent="0.25">
      <c r="L4224"/>
    </row>
    <row r="4225" spans="12:12" x14ac:dyDescent="0.25">
      <c r="L4225"/>
    </row>
    <row r="4226" spans="12:12" x14ac:dyDescent="0.25">
      <c r="L4226"/>
    </row>
    <row r="4227" spans="12:12" x14ac:dyDescent="0.25">
      <c r="L4227"/>
    </row>
    <row r="4228" spans="12:12" x14ac:dyDescent="0.25">
      <c r="L4228"/>
    </row>
    <row r="4229" spans="12:12" x14ac:dyDescent="0.25">
      <c r="L4229"/>
    </row>
    <row r="4230" spans="12:12" x14ac:dyDescent="0.25">
      <c r="L4230"/>
    </row>
    <row r="4231" spans="12:12" x14ac:dyDescent="0.25">
      <c r="L4231"/>
    </row>
    <row r="4232" spans="12:12" x14ac:dyDescent="0.25">
      <c r="L4232"/>
    </row>
    <row r="4233" spans="12:12" x14ac:dyDescent="0.25">
      <c r="L4233"/>
    </row>
    <row r="4234" spans="12:12" x14ac:dyDescent="0.25">
      <c r="L4234"/>
    </row>
    <row r="4235" spans="12:12" x14ac:dyDescent="0.25">
      <c r="L4235"/>
    </row>
    <row r="4236" spans="12:12" x14ac:dyDescent="0.25">
      <c r="L4236"/>
    </row>
    <row r="4237" spans="12:12" x14ac:dyDescent="0.25">
      <c r="L4237"/>
    </row>
    <row r="4238" spans="12:12" x14ac:dyDescent="0.25">
      <c r="L4238"/>
    </row>
    <row r="4239" spans="12:12" x14ac:dyDescent="0.25">
      <c r="L4239"/>
    </row>
    <row r="4240" spans="12:12" x14ac:dyDescent="0.25">
      <c r="L4240"/>
    </row>
    <row r="4241" spans="12:12" x14ac:dyDescent="0.25">
      <c r="L4241"/>
    </row>
    <row r="4242" spans="12:12" x14ac:dyDescent="0.25">
      <c r="L4242"/>
    </row>
    <row r="4243" spans="12:12" x14ac:dyDescent="0.25">
      <c r="L4243"/>
    </row>
    <row r="4244" spans="12:12" x14ac:dyDescent="0.25">
      <c r="L4244"/>
    </row>
    <row r="4245" spans="12:12" x14ac:dyDescent="0.25">
      <c r="L4245"/>
    </row>
    <row r="4246" spans="12:12" x14ac:dyDescent="0.25">
      <c r="L4246"/>
    </row>
    <row r="4247" spans="12:12" x14ac:dyDescent="0.25">
      <c r="L4247"/>
    </row>
    <row r="4248" spans="12:12" x14ac:dyDescent="0.25">
      <c r="L4248"/>
    </row>
    <row r="4249" spans="12:12" x14ac:dyDescent="0.25">
      <c r="L4249"/>
    </row>
    <row r="4250" spans="12:12" x14ac:dyDescent="0.25">
      <c r="L4250"/>
    </row>
    <row r="4251" spans="12:12" x14ac:dyDescent="0.25">
      <c r="L4251"/>
    </row>
    <row r="4252" spans="12:12" x14ac:dyDescent="0.25">
      <c r="L4252"/>
    </row>
    <row r="4253" spans="12:12" x14ac:dyDescent="0.25">
      <c r="L4253"/>
    </row>
    <row r="4254" spans="12:12" x14ac:dyDescent="0.25">
      <c r="L4254"/>
    </row>
    <row r="4255" spans="12:12" x14ac:dyDescent="0.25">
      <c r="L4255"/>
    </row>
    <row r="4256" spans="12:12" x14ac:dyDescent="0.25">
      <c r="L4256"/>
    </row>
    <row r="4257" spans="12:12" x14ac:dyDescent="0.25">
      <c r="L4257"/>
    </row>
    <row r="4258" spans="12:12" x14ac:dyDescent="0.25">
      <c r="L4258"/>
    </row>
    <row r="4259" spans="12:12" x14ac:dyDescent="0.25">
      <c r="L4259"/>
    </row>
    <row r="4260" spans="12:12" x14ac:dyDescent="0.25">
      <c r="L4260"/>
    </row>
    <row r="4261" spans="12:12" x14ac:dyDescent="0.25">
      <c r="L4261"/>
    </row>
    <row r="4262" spans="12:12" x14ac:dyDescent="0.25">
      <c r="L4262"/>
    </row>
    <row r="4263" spans="12:12" x14ac:dyDescent="0.25">
      <c r="L4263"/>
    </row>
    <row r="4264" spans="12:12" x14ac:dyDescent="0.25">
      <c r="L4264"/>
    </row>
    <row r="4265" spans="12:12" x14ac:dyDescent="0.25">
      <c r="L4265"/>
    </row>
    <row r="4266" spans="12:12" x14ac:dyDescent="0.25">
      <c r="L4266"/>
    </row>
    <row r="4267" spans="12:12" x14ac:dyDescent="0.25">
      <c r="L4267"/>
    </row>
    <row r="4268" spans="12:12" x14ac:dyDescent="0.25">
      <c r="L4268"/>
    </row>
    <row r="4269" spans="12:12" x14ac:dyDescent="0.25">
      <c r="L4269"/>
    </row>
    <row r="4270" spans="12:12" x14ac:dyDescent="0.25">
      <c r="L4270"/>
    </row>
    <row r="4271" spans="12:12" x14ac:dyDescent="0.25">
      <c r="L4271"/>
    </row>
    <row r="4272" spans="12:12" x14ac:dyDescent="0.25">
      <c r="L4272"/>
    </row>
    <row r="4273" spans="12:12" x14ac:dyDescent="0.25">
      <c r="L4273"/>
    </row>
    <row r="4274" spans="12:12" x14ac:dyDescent="0.25">
      <c r="L4274"/>
    </row>
    <row r="4275" spans="12:12" x14ac:dyDescent="0.25">
      <c r="L4275"/>
    </row>
    <row r="4276" spans="12:12" x14ac:dyDescent="0.25">
      <c r="L4276"/>
    </row>
    <row r="4277" spans="12:12" x14ac:dyDescent="0.25">
      <c r="L4277"/>
    </row>
    <row r="4278" spans="12:12" x14ac:dyDescent="0.25">
      <c r="L4278"/>
    </row>
    <row r="4279" spans="12:12" x14ac:dyDescent="0.25">
      <c r="L4279"/>
    </row>
    <row r="4280" spans="12:12" x14ac:dyDescent="0.25">
      <c r="L4280"/>
    </row>
    <row r="4281" spans="12:12" x14ac:dyDescent="0.25">
      <c r="L4281"/>
    </row>
    <row r="4282" spans="12:12" x14ac:dyDescent="0.25">
      <c r="L4282"/>
    </row>
    <row r="4283" spans="12:12" x14ac:dyDescent="0.25">
      <c r="L4283"/>
    </row>
    <row r="4284" spans="12:12" x14ac:dyDescent="0.25">
      <c r="L4284"/>
    </row>
    <row r="4285" spans="12:12" x14ac:dyDescent="0.25">
      <c r="L4285"/>
    </row>
    <row r="4286" spans="12:12" x14ac:dyDescent="0.25">
      <c r="L4286"/>
    </row>
    <row r="4287" spans="12:12" x14ac:dyDescent="0.25">
      <c r="L4287"/>
    </row>
    <row r="4288" spans="12:12" x14ac:dyDescent="0.25">
      <c r="L4288"/>
    </row>
    <row r="4289" spans="12:12" x14ac:dyDescent="0.25">
      <c r="L4289"/>
    </row>
    <row r="4290" spans="12:12" x14ac:dyDescent="0.25">
      <c r="L4290"/>
    </row>
    <row r="4291" spans="12:12" x14ac:dyDescent="0.25">
      <c r="L4291"/>
    </row>
    <row r="4292" spans="12:12" x14ac:dyDescent="0.25">
      <c r="L4292"/>
    </row>
    <row r="4293" spans="12:12" x14ac:dyDescent="0.25">
      <c r="L4293"/>
    </row>
    <row r="4294" spans="12:12" x14ac:dyDescent="0.25">
      <c r="L4294"/>
    </row>
    <row r="4295" spans="12:12" x14ac:dyDescent="0.25">
      <c r="L4295"/>
    </row>
    <row r="4296" spans="12:12" x14ac:dyDescent="0.25">
      <c r="L4296"/>
    </row>
    <row r="4297" spans="12:12" x14ac:dyDescent="0.25">
      <c r="L4297"/>
    </row>
    <row r="4298" spans="12:12" x14ac:dyDescent="0.25">
      <c r="L4298"/>
    </row>
    <row r="4299" spans="12:12" x14ac:dyDescent="0.25">
      <c r="L4299"/>
    </row>
    <row r="4300" spans="12:12" x14ac:dyDescent="0.25">
      <c r="L4300"/>
    </row>
    <row r="4301" spans="12:12" x14ac:dyDescent="0.25">
      <c r="L4301"/>
    </row>
    <row r="4302" spans="12:12" x14ac:dyDescent="0.25">
      <c r="L4302"/>
    </row>
    <row r="4303" spans="12:12" x14ac:dyDescent="0.25">
      <c r="L4303"/>
    </row>
    <row r="4304" spans="12:12" x14ac:dyDescent="0.25">
      <c r="L4304"/>
    </row>
    <row r="4305" spans="12:12" x14ac:dyDescent="0.25">
      <c r="L4305"/>
    </row>
    <row r="4306" spans="12:12" x14ac:dyDescent="0.25">
      <c r="L4306"/>
    </row>
    <row r="4307" spans="12:12" x14ac:dyDescent="0.25">
      <c r="L4307"/>
    </row>
    <row r="4308" spans="12:12" x14ac:dyDescent="0.25">
      <c r="L4308"/>
    </row>
    <row r="4309" spans="12:12" x14ac:dyDescent="0.25">
      <c r="L4309"/>
    </row>
    <row r="4310" spans="12:12" x14ac:dyDescent="0.25">
      <c r="L4310"/>
    </row>
    <row r="4311" spans="12:12" x14ac:dyDescent="0.25">
      <c r="L4311"/>
    </row>
    <row r="4312" spans="12:12" x14ac:dyDescent="0.25">
      <c r="L4312"/>
    </row>
    <row r="4313" spans="12:12" x14ac:dyDescent="0.25">
      <c r="L4313"/>
    </row>
    <row r="4314" spans="12:12" x14ac:dyDescent="0.25">
      <c r="L4314"/>
    </row>
    <row r="4315" spans="12:12" x14ac:dyDescent="0.25">
      <c r="L4315"/>
    </row>
    <row r="4316" spans="12:12" x14ac:dyDescent="0.25">
      <c r="L4316"/>
    </row>
    <row r="4317" spans="12:12" x14ac:dyDescent="0.25">
      <c r="L4317"/>
    </row>
    <row r="4318" spans="12:12" x14ac:dyDescent="0.25">
      <c r="L4318"/>
    </row>
    <row r="4319" spans="12:12" x14ac:dyDescent="0.25">
      <c r="L4319"/>
    </row>
    <row r="4320" spans="12:12" x14ac:dyDescent="0.25">
      <c r="L4320"/>
    </row>
    <row r="4321" spans="12:12" x14ac:dyDescent="0.25">
      <c r="L4321"/>
    </row>
    <row r="4322" spans="12:12" x14ac:dyDescent="0.25">
      <c r="L4322"/>
    </row>
    <row r="4323" spans="12:12" x14ac:dyDescent="0.25">
      <c r="L4323"/>
    </row>
    <row r="4324" spans="12:12" x14ac:dyDescent="0.25">
      <c r="L4324"/>
    </row>
    <row r="4325" spans="12:12" x14ac:dyDescent="0.25">
      <c r="L4325"/>
    </row>
    <row r="4326" spans="12:12" x14ac:dyDescent="0.25">
      <c r="L4326"/>
    </row>
    <row r="4327" spans="12:12" x14ac:dyDescent="0.25">
      <c r="L4327"/>
    </row>
    <row r="4328" spans="12:12" x14ac:dyDescent="0.25">
      <c r="L4328"/>
    </row>
    <row r="4329" spans="12:12" x14ac:dyDescent="0.25">
      <c r="L4329"/>
    </row>
    <row r="4330" spans="12:12" x14ac:dyDescent="0.25">
      <c r="L4330"/>
    </row>
    <row r="4331" spans="12:12" x14ac:dyDescent="0.25">
      <c r="L4331"/>
    </row>
    <row r="4332" spans="12:12" x14ac:dyDescent="0.25">
      <c r="L4332"/>
    </row>
    <row r="4333" spans="12:12" x14ac:dyDescent="0.25">
      <c r="L4333"/>
    </row>
    <row r="4334" spans="12:12" x14ac:dyDescent="0.25">
      <c r="L4334"/>
    </row>
    <row r="4335" spans="12:12" x14ac:dyDescent="0.25">
      <c r="L4335"/>
    </row>
    <row r="4336" spans="12:12" x14ac:dyDescent="0.25">
      <c r="L4336"/>
    </row>
    <row r="4337" spans="12:12" x14ac:dyDescent="0.25">
      <c r="L4337"/>
    </row>
    <row r="4338" spans="12:12" x14ac:dyDescent="0.25">
      <c r="L4338"/>
    </row>
    <row r="4339" spans="12:12" x14ac:dyDescent="0.25">
      <c r="L4339"/>
    </row>
    <row r="4340" spans="12:12" x14ac:dyDescent="0.25">
      <c r="L4340"/>
    </row>
    <row r="4341" spans="12:12" x14ac:dyDescent="0.25">
      <c r="L4341"/>
    </row>
    <row r="4342" spans="12:12" x14ac:dyDescent="0.25">
      <c r="L4342"/>
    </row>
    <row r="4343" spans="12:12" x14ac:dyDescent="0.25">
      <c r="L4343"/>
    </row>
    <row r="4344" spans="12:12" x14ac:dyDescent="0.25">
      <c r="L4344"/>
    </row>
    <row r="4345" spans="12:12" x14ac:dyDescent="0.25">
      <c r="L4345"/>
    </row>
    <row r="4346" spans="12:12" x14ac:dyDescent="0.25">
      <c r="L4346"/>
    </row>
    <row r="4347" spans="12:12" x14ac:dyDescent="0.25">
      <c r="L4347"/>
    </row>
    <row r="4348" spans="12:12" x14ac:dyDescent="0.25">
      <c r="L4348"/>
    </row>
    <row r="4349" spans="12:12" x14ac:dyDescent="0.25">
      <c r="L4349"/>
    </row>
    <row r="4350" spans="12:12" x14ac:dyDescent="0.25">
      <c r="L4350"/>
    </row>
    <row r="4351" spans="12:12" x14ac:dyDescent="0.25">
      <c r="L4351"/>
    </row>
    <row r="4352" spans="12:12" x14ac:dyDescent="0.25">
      <c r="L4352"/>
    </row>
    <row r="4353" spans="12:12" x14ac:dyDescent="0.25">
      <c r="L4353"/>
    </row>
    <row r="4354" spans="12:12" x14ac:dyDescent="0.25">
      <c r="L4354"/>
    </row>
    <row r="4355" spans="12:12" x14ac:dyDescent="0.25">
      <c r="L4355"/>
    </row>
    <row r="4356" spans="12:12" x14ac:dyDescent="0.25">
      <c r="L4356"/>
    </row>
    <row r="4357" spans="12:12" x14ac:dyDescent="0.25">
      <c r="L4357"/>
    </row>
    <row r="4358" spans="12:12" x14ac:dyDescent="0.25">
      <c r="L4358"/>
    </row>
    <row r="4359" spans="12:12" x14ac:dyDescent="0.25">
      <c r="L4359"/>
    </row>
    <row r="4360" spans="12:12" x14ac:dyDescent="0.25">
      <c r="L4360"/>
    </row>
    <row r="4361" spans="12:12" x14ac:dyDescent="0.25">
      <c r="L4361"/>
    </row>
    <row r="4362" spans="12:12" x14ac:dyDescent="0.25">
      <c r="L4362"/>
    </row>
    <row r="4363" spans="12:12" x14ac:dyDescent="0.25">
      <c r="L4363"/>
    </row>
    <row r="4364" spans="12:12" x14ac:dyDescent="0.25">
      <c r="L4364"/>
    </row>
    <row r="4365" spans="12:12" x14ac:dyDescent="0.25">
      <c r="L4365"/>
    </row>
    <row r="4366" spans="12:12" x14ac:dyDescent="0.25">
      <c r="L4366"/>
    </row>
    <row r="4367" spans="12:12" x14ac:dyDescent="0.25">
      <c r="L4367"/>
    </row>
    <row r="4368" spans="12:12" x14ac:dyDescent="0.25">
      <c r="L4368"/>
    </row>
    <row r="4369" spans="12:12" x14ac:dyDescent="0.25">
      <c r="L4369"/>
    </row>
    <row r="4370" spans="12:12" x14ac:dyDescent="0.25">
      <c r="L4370"/>
    </row>
    <row r="4371" spans="12:12" x14ac:dyDescent="0.25">
      <c r="L4371"/>
    </row>
    <row r="4372" spans="12:12" x14ac:dyDescent="0.25">
      <c r="L4372"/>
    </row>
    <row r="4373" spans="12:12" x14ac:dyDescent="0.25">
      <c r="L4373"/>
    </row>
    <row r="4374" spans="12:12" x14ac:dyDescent="0.25">
      <c r="L4374"/>
    </row>
    <row r="4375" spans="12:12" x14ac:dyDescent="0.25">
      <c r="L4375"/>
    </row>
    <row r="4376" spans="12:12" x14ac:dyDescent="0.25">
      <c r="L4376"/>
    </row>
    <row r="4377" spans="12:12" x14ac:dyDescent="0.25">
      <c r="L4377"/>
    </row>
    <row r="4378" spans="12:12" x14ac:dyDescent="0.25">
      <c r="L4378"/>
    </row>
    <row r="4379" spans="12:12" x14ac:dyDescent="0.25">
      <c r="L4379"/>
    </row>
    <row r="4380" spans="12:12" x14ac:dyDescent="0.25">
      <c r="L4380"/>
    </row>
    <row r="4381" spans="12:12" x14ac:dyDescent="0.25">
      <c r="L4381"/>
    </row>
    <row r="4382" spans="12:12" x14ac:dyDescent="0.25">
      <c r="L4382"/>
    </row>
    <row r="4383" spans="12:12" x14ac:dyDescent="0.25">
      <c r="L4383"/>
    </row>
    <row r="4384" spans="12:12" x14ac:dyDescent="0.25">
      <c r="L4384"/>
    </row>
    <row r="4385" spans="12:12" x14ac:dyDescent="0.25">
      <c r="L4385"/>
    </row>
    <row r="4386" spans="12:12" x14ac:dyDescent="0.25">
      <c r="L4386"/>
    </row>
    <row r="4387" spans="12:12" x14ac:dyDescent="0.25">
      <c r="L4387"/>
    </row>
    <row r="4388" spans="12:12" x14ac:dyDescent="0.25">
      <c r="L4388"/>
    </row>
    <row r="4389" spans="12:12" x14ac:dyDescent="0.25">
      <c r="L4389"/>
    </row>
    <row r="4390" spans="12:12" x14ac:dyDescent="0.25">
      <c r="L4390"/>
    </row>
    <row r="4391" spans="12:12" x14ac:dyDescent="0.25">
      <c r="L4391"/>
    </row>
    <row r="4392" spans="12:12" x14ac:dyDescent="0.25">
      <c r="L4392"/>
    </row>
    <row r="4393" spans="12:12" x14ac:dyDescent="0.25">
      <c r="L4393"/>
    </row>
    <row r="4394" spans="12:12" x14ac:dyDescent="0.25">
      <c r="L4394"/>
    </row>
    <row r="4395" spans="12:12" x14ac:dyDescent="0.25">
      <c r="L4395"/>
    </row>
    <row r="4396" spans="12:12" x14ac:dyDescent="0.25">
      <c r="L4396"/>
    </row>
    <row r="4397" spans="12:12" x14ac:dyDescent="0.25">
      <c r="L4397"/>
    </row>
    <row r="4398" spans="12:12" x14ac:dyDescent="0.25">
      <c r="L4398"/>
    </row>
    <row r="4399" spans="12:12" x14ac:dyDescent="0.25">
      <c r="L4399"/>
    </row>
    <row r="4400" spans="12:12" x14ac:dyDescent="0.25">
      <c r="L4400"/>
    </row>
    <row r="4401" spans="12:12" x14ac:dyDescent="0.25">
      <c r="L4401"/>
    </row>
    <row r="4402" spans="12:12" x14ac:dyDescent="0.25">
      <c r="L4402"/>
    </row>
    <row r="4403" spans="12:12" x14ac:dyDescent="0.25">
      <c r="L4403"/>
    </row>
    <row r="4404" spans="12:12" x14ac:dyDescent="0.25">
      <c r="L4404"/>
    </row>
    <row r="4405" spans="12:12" x14ac:dyDescent="0.25">
      <c r="L4405"/>
    </row>
    <row r="4406" spans="12:12" x14ac:dyDescent="0.25">
      <c r="L4406"/>
    </row>
    <row r="4407" spans="12:12" x14ac:dyDescent="0.25">
      <c r="L4407"/>
    </row>
    <row r="4408" spans="12:12" x14ac:dyDescent="0.25">
      <c r="L4408"/>
    </row>
    <row r="4409" spans="12:12" x14ac:dyDescent="0.25">
      <c r="L4409"/>
    </row>
    <row r="4410" spans="12:12" x14ac:dyDescent="0.25">
      <c r="L4410"/>
    </row>
    <row r="4411" spans="12:12" x14ac:dyDescent="0.25">
      <c r="L4411"/>
    </row>
    <row r="4412" spans="12:12" x14ac:dyDescent="0.25">
      <c r="L4412"/>
    </row>
    <row r="4413" spans="12:12" x14ac:dyDescent="0.25">
      <c r="L4413"/>
    </row>
    <row r="4414" spans="12:12" x14ac:dyDescent="0.25">
      <c r="L4414"/>
    </row>
    <row r="4415" spans="12:12" x14ac:dyDescent="0.25">
      <c r="L4415"/>
    </row>
    <row r="4416" spans="12:12" x14ac:dyDescent="0.25">
      <c r="L4416"/>
    </row>
    <row r="4417" spans="12:12" x14ac:dyDescent="0.25">
      <c r="L4417"/>
    </row>
    <row r="4418" spans="12:12" x14ac:dyDescent="0.25">
      <c r="L4418"/>
    </row>
    <row r="4419" spans="12:12" x14ac:dyDescent="0.25">
      <c r="L4419"/>
    </row>
    <row r="4420" spans="12:12" x14ac:dyDescent="0.25">
      <c r="L4420"/>
    </row>
    <row r="4421" spans="12:12" x14ac:dyDescent="0.25">
      <c r="L4421"/>
    </row>
    <row r="4422" spans="12:12" x14ac:dyDescent="0.25">
      <c r="L4422"/>
    </row>
    <row r="4423" spans="12:12" x14ac:dyDescent="0.25">
      <c r="L4423"/>
    </row>
    <row r="4424" spans="12:12" x14ac:dyDescent="0.25">
      <c r="L4424"/>
    </row>
    <row r="4425" spans="12:12" x14ac:dyDescent="0.25">
      <c r="L4425"/>
    </row>
    <row r="4426" spans="12:12" x14ac:dyDescent="0.25">
      <c r="L4426"/>
    </row>
    <row r="4427" spans="12:12" x14ac:dyDescent="0.25">
      <c r="L4427"/>
    </row>
    <row r="4428" spans="12:12" x14ac:dyDescent="0.25">
      <c r="L4428"/>
    </row>
    <row r="4429" spans="12:12" x14ac:dyDescent="0.25">
      <c r="L4429"/>
    </row>
    <row r="4430" spans="12:12" x14ac:dyDescent="0.25">
      <c r="L4430"/>
    </row>
    <row r="4431" spans="12:12" x14ac:dyDescent="0.25">
      <c r="L4431"/>
    </row>
    <row r="4432" spans="12:12" x14ac:dyDescent="0.25">
      <c r="L4432"/>
    </row>
    <row r="4433" spans="12:12" x14ac:dyDescent="0.25">
      <c r="L4433"/>
    </row>
    <row r="4434" spans="12:12" x14ac:dyDescent="0.25">
      <c r="L4434"/>
    </row>
    <row r="4435" spans="12:12" x14ac:dyDescent="0.25">
      <c r="L4435"/>
    </row>
    <row r="4436" spans="12:12" x14ac:dyDescent="0.25">
      <c r="L4436"/>
    </row>
    <row r="4437" spans="12:12" x14ac:dyDescent="0.25">
      <c r="L4437"/>
    </row>
    <row r="4438" spans="12:12" x14ac:dyDescent="0.25">
      <c r="L4438"/>
    </row>
    <row r="4439" spans="12:12" x14ac:dyDescent="0.25">
      <c r="L4439"/>
    </row>
    <row r="4440" spans="12:12" x14ac:dyDescent="0.25">
      <c r="L4440"/>
    </row>
    <row r="4441" spans="12:12" x14ac:dyDescent="0.25">
      <c r="L4441"/>
    </row>
    <row r="4442" spans="12:12" x14ac:dyDescent="0.25">
      <c r="L4442"/>
    </row>
    <row r="4443" spans="12:12" x14ac:dyDescent="0.25">
      <c r="L4443"/>
    </row>
    <row r="4444" spans="12:12" x14ac:dyDescent="0.25">
      <c r="L4444"/>
    </row>
    <row r="4445" spans="12:12" x14ac:dyDescent="0.25">
      <c r="L4445"/>
    </row>
    <row r="4446" spans="12:12" x14ac:dyDescent="0.25">
      <c r="L4446"/>
    </row>
    <row r="4447" spans="12:12" x14ac:dyDescent="0.25">
      <c r="L4447"/>
    </row>
    <row r="4448" spans="12:12" x14ac:dyDescent="0.25">
      <c r="L4448"/>
    </row>
    <row r="4449" spans="12:12" x14ac:dyDescent="0.25">
      <c r="L4449"/>
    </row>
    <row r="4450" spans="12:12" x14ac:dyDescent="0.25">
      <c r="L4450"/>
    </row>
    <row r="4451" spans="12:12" x14ac:dyDescent="0.25">
      <c r="L4451"/>
    </row>
    <row r="4452" spans="12:12" x14ac:dyDescent="0.25">
      <c r="L4452"/>
    </row>
    <row r="4453" spans="12:12" x14ac:dyDescent="0.25">
      <c r="L4453"/>
    </row>
    <row r="4454" spans="12:12" x14ac:dyDescent="0.25">
      <c r="L4454"/>
    </row>
    <row r="4455" spans="12:12" x14ac:dyDescent="0.25">
      <c r="L4455"/>
    </row>
    <row r="4456" spans="12:12" x14ac:dyDescent="0.25">
      <c r="L4456"/>
    </row>
    <row r="4457" spans="12:12" x14ac:dyDescent="0.25">
      <c r="L4457"/>
    </row>
    <row r="4458" spans="12:12" x14ac:dyDescent="0.25">
      <c r="L4458"/>
    </row>
    <row r="4459" spans="12:12" x14ac:dyDescent="0.25">
      <c r="L4459"/>
    </row>
    <row r="4460" spans="12:12" x14ac:dyDescent="0.25">
      <c r="L4460"/>
    </row>
    <row r="4461" spans="12:12" x14ac:dyDescent="0.25">
      <c r="L4461"/>
    </row>
    <row r="4462" spans="12:12" x14ac:dyDescent="0.25">
      <c r="L4462"/>
    </row>
    <row r="4463" spans="12:12" x14ac:dyDescent="0.25">
      <c r="L4463"/>
    </row>
    <row r="4464" spans="12:12" x14ac:dyDescent="0.25">
      <c r="L4464"/>
    </row>
    <row r="4465" spans="12:12" x14ac:dyDescent="0.25">
      <c r="L4465"/>
    </row>
    <row r="4466" spans="12:12" x14ac:dyDescent="0.25">
      <c r="L4466"/>
    </row>
    <row r="4467" spans="12:12" x14ac:dyDescent="0.25">
      <c r="L4467"/>
    </row>
    <row r="4468" spans="12:12" x14ac:dyDescent="0.25">
      <c r="L4468"/>
    </row>
    <row r="4469" spans="12:12" x14ac:dyDescent="0.25">
      <c r="L4469"/>
    </row>
    <row r="4470" spans="12:12" x14ac:dyDescent="0.25">
      <c r="L4470"/>
    </row>
    <row r="4471" spans="12:12" x14ac:dyDescent="0.25">
      <c r="L4471"/>
    </row>
    <row r="4472" spans="12:12" x14ac:dyDescent="0.25">
      <c r="L4472"/>
    </row>
    <row r="4473" spans="12:12" x14ac:dyDescent="0.25">
      <c r="L4473"/>
    </row>
    <row r="4474" spans="12:12" x14ac:dyDescent="0.25">
      <c r="L4474"/>
    </row>
    <row r="4475" spans="12:12" x14ac:dyDescent="0.25">
      <c r="L4475"/>
    </row>
    <row r="4476" spans="12:12" x14ac:dyDescent="0.25">
      <c r="L4476"/>
    </row>
    <row r="4477" spans="12:12" x14ac:dyDescent="0.25">
      <c r="L4477"/>
    </row>
    <row r="4478" spans="12:12" x14ac:dyDescent="0.25">
      <c r="L4478"/>
    </row>
    <row r="4479" spans="12:12" x14ac:dyDescent="0.25">
      <c r="L4479"/>
    </row>
    <row r="4480" spans="12:12" x14ac:dyDescent="0.25">
      <c r="L4480"/>
    </row>
    <row r="4481" spans="12:12" x14ac:dyDescent="0.25">
      <c r="L4481"/>
    </row>
    <row r="4482" spans="12:12" x14ac:dyDescent="0.25">
      <c r="L4482"/>
    </row>
    <row r="4483" spans="12:12" x14ac:dyDescent="0.25">
      <c r="L4483"/>
    </row>
    <row r="4484" spans="12:12" x14ac:dyDescent="0.25">
      <c r="L4484"/>
    </row>
    <row r="4485" spans="12:12" x14ac:dyDescent="0.25">
      <c r="L4485"/>
    </row>
    <row r="4486" spans="12:12" x14ac:dyDescent="0.25">
      <c r="L4486"/>
    </row>
    <row r="4487" spans="12:12" x14ac:dyDescent="0.25">
      <c r="L4487"/>
    </row>
    <row r="4488" spans="12:12" x14ac:dyDescent="0.25">
      <c r="L4488"/>
    </row>
    <row r="4489" spans="12:12" x14ac:dyDescent="0.25">
      <c r="L4489"/>
    </row>
    <row r="4490" spans="12:12" x14ac:dyDescent="0.25">
      <c r="L4490"/>
    </row>
    <row r="4491" spans="12:12" x14ac:dyDescent="0.25">
      <c r="L4491"/>
    </row>
    <row r="4492" spans="12:12" x14ac:dyDescent="0.25">
      <c r="L4492"/>
    </row>
    <row r="4493" spans="12:12" x14ac:dyDescent="0.25">
      <c r="L4493"/>
    </row>
    <row r="4494" spans="12:12" x14ac:dyDescent="0.25">
      <c r="L4494"/>
    </row>
    <row r="4495" spans="12:12" x14ac:dyDescent="0.25">
      <c r="L4495"/>
    </row>
    <row r="4496" spans="12:12" x14ac:dyDescent="0.25">
      <c r="L4496"/>
    </row>
    <row r="4497" spans="12:12" x14ac:dyDescent="0.25">
      <c r="L4497"/>
    </row>
    <row r="4498" spans="12:12" x14ac:dyDescent="0.25">
      <c r="L4498"/>
    </row>
    <row r="4499" spans="12:12" x14ac:dyDescent="0.25">
      <c r="L4499"/>
    </row>
    <row r="4500" spans="12:12" x14ac:dyDescent="0.25">
      <c r="L4500"/>
    </row>
    <row r="4501" spans="12:12" x14ac:dyDescent="0.25">
      <c r="L4501"/>
    </row>
    <row r="4502" spans="12:12" x14ac:dyDescent="0.25">
      <c r="L4502"/>
    </row>
    <row r="4503" spans="12:12" x14ac:dyDescent="0.25">
      <c r="L4503"/>
    </row>
    <row r="4504" spans="12:12" x14ac:dyDescent="0.25">
      <c r="L4504"/>
    </row>
    <row r="4505" spans="12:12" x14ac:dyDescent="0.25">
      <c r="L4505"/>
    </row>
    <row r="4506" spans="12:12" x14ac:dyDescent="0.25">
      <c r="L4506"/>
    </row>
    <row r="4507" spans="12:12" x14ac:dyDescent="0.25">
      <c r="L4507"/>
    </row>
    <row r="4508" spans="12:12" x14ac:dyDescent="0.25">
      <c r="L4508"/>
    </row>
    <row r="4509" spans="12:12" x14ac:dyDescent="0.25">
      <c r="L4509"/>
    </row>
    <row r="4510" spans="12:12" x14ac:dyDescent="0.25">
      <c r="L4510"/>
    </row>
    <row r="4511" spans="12:12" x14ac:dyDescent="0.25">
      <c r="L4511"/>
    </row>
    <row r="4512" spans="12:12" x14ac:dyDescent="0.25">
      <c r="L4512"/>
    </row>
    <row r="4513" spans="12:12" x14ac:dyDescent="0.25">
      <c r="L4513"/>
    </row>
    <row r="4514" spans="12:12" x14ac:dyDescent="0.25">
      <c r="L4514"/>
    </row>
    <row r="4515" spans="12:12" x14ac:dyDescent="0.25">
      <c r="L4515"/>
    </row>
    <row r="4516" spans="12:12" x14ac:dyDescent="0.25">
      <c r="L4516"/>
    </row>
    <row r="4517" spans="12:12" x14ac:dyDescent="0.25">
      <c r="L4517"/>
    </row>
    <row r="4518" spans="12:12" x14ac:dyDescent="0.25">
      <c r="L4518"/>
    </row>
    <row r="4519" spans="12:12" x14ac:dyDescent="0.25">
      <c r="L4519"/>
    </row>
    <row r="4520" spans="12:12" x14ac:dyDescent="0.25">
      <c r="L4520"/>
    </row>
    <row r="4521" spans="12:12" x14ac:dyDescent="0.25">
      <c r="L4521"/>
    </row>
    <row r="4522" spans="12:12" x14ac:dyDescent="0.25">
      <c r="L4522"/>
    </row>
    <row r="4523" spans="12:12" x14ac:dyDescent="0.25">
      <c r="L4523"/>
    </row>
    <row r="4524" spans="12:12" x14ac:dyDescent="0.25">
      <c r="L4524"/>
    </row>
    <row r="4525" spans="12:12" x14ac:dyDescent="0.25">
      <c r="L4525"/>
    </row>
    <row r="4526" spans="12:12" x14ac:dyDescent="0.25">
      <c r="L4526"/>
    </row>
    <row r="4527" spans="12:12" x14ac:dyDescent="0.25">
      <c r="L4527"/>
    </row>
    <row r="4528" spans="12:12" x14ac:dyDescent="0.25">
      <c r="L4528"/>
    </row>
    <row r="4529" spans="12:12" x14ac:dyDescent="0.25">
      <c r="L4529"/>
    </row>
    <row r="4530" spans="12:12" x14ac:dyDescent="0.25">
      <c r="L4530"/>
    </row>
    <row r="4531" spans="12:12" x14ac:dyDescent="0.25">
      <c r="L4531"/>
    </row>
    <row r="4532" spans="12:12" x14ac:dyDescent="0.25">
      <c r="L4532"/>
    </row>
    <row r="4533" spans="12:12" x14ac:dyDescent="0.25">
      <c r="L4533"/>
    </row>
    <row r="4534" spans="12:12" x14ac:dyDescent="0.25">
      <c r="L4534"/>
    </row>
    <row r="4535" spans="12:12" x14ac:dyDescent="0.25">
      <c r="L4535"/>
    </row>
    <row r="4536" spans="12:12" x14ac:dyDescent="0.25">
      <c r="L4536"/>
    </row>
    <row r="4537" spans="12:12" x14ac:dyDescent="0.25">
      <c r="L4537"/>
    </row>
    <row r="4538" spans="12:12" x14ac:dyDescent="0.25">
      <c r="L4538"/>
    </row>
    <row r="4539" spans="12:12" x14ac:dyDescent="0.25">
      <c r="L4539"/>
    </row>
    <row r="4540" spans="12:12" x14ac:dyDescent="0.25">
      <c r="L4540"/>
    </row>
    <row r="4541" spans="12:12" x14ac:dyDescent="0.25">
      <c r="L4541"/>
    </row>
    <row r="4542" spans="12:12" x14ac:dyDescent="0.25">
      <c r="L4542"/>
    </row>
    <row r="4543" spans="12:12" x14ac:dyDescent="0.25">
      <c r="L4543"/>
    </row>
    <row r="4544" spans="12:12" x14ac:dyDescent="0.25">
      <c r="L4544"/>
    </row>
    <row r="4545" spans="12:12" x14ac:dyDescent="0.25">
      <c r="L4545"/>
    </row>
    <row r="4546" spans="12:12" x14ac:dyDescent="0.25">
      <c r="L4546"/>
    </row>
    <row r="4547" spans="12:12" x14ac:dyDescent="0.25">
      <c r="L4547"/>
    </row>
    <row r="4548" spans="12:12" x14ac:dyDescent="0.25">
      <c r="L4548"/>
    </row>
    <row r="4549" spans="12:12" x14ac:dyDescent="0.25">
      <c r="L4549"/>
    </row>
    <row r="4550" spans="12:12" x14ac:dyDescent="0.25">
      <c r="L4550"/>
    </row>
    <row r="4551" spans="12:12" x14ac:dyDescent="0.25">
      <c r="L4551"/>
    </row>
    <row r="4552" spans="12:12" x14ac:dyDescent="0.25">
      <c r="L4552"/>
    </row>
    <row r="4553" spans="12:12" x14ac:dyDescent="0.25">
      <c r="L4553"/>
    </row>
    <row r="4554" spans="12:12" x14ac:dyDescent="0.25">
      <c r="L4554"/>
    </row>
    <row r="4555" spans="12:12" x14ac:dyDescent="0.25">
      <c r="L4555"/>
    </row>
    <row r="4556" spans="12:12" x14ac:dyDescent="0.25">
      <c r="L4556"/>
    </row>
    <row r="4557" spans="12:12" x14ac:dyDescent="0.25">
      <c r="L4557"/>
    </row>
    <row r="4558" spans="12:12" x14ac:dyDescent="0.25">
      <c r="L4558"/>
    </row>
    <row r="4559" spans="12:12" x14ac:dyDescent="0.25">
      <c r="L4559"/>
    </row>
    <row r="4560" spans="12:12" x14ac:dyDescent="0.25">
      <c r="L4560"/>
    </row>
    <row r="4561" spans="12:12" x14ac:dyDescent="0.25">
      <c r="L4561"/>
    </row>
    <row r="4562" spans="12:12" x14ac:dyDescent="0.25">
      <c r="L4562"/>
    </row>
    <row r="4563" spans="12:12" x14ac:dyDescent="0.25">
      <c r="L4563"/>
    </row>
    <row r="4564" spans="12:12" x14ac:dyDescent="0.25">
      <c r="L4564"/>
    </row>
    <row r="4565" spans="12:12" x14ac:dyDescent="0.25">
      <c r="L4565"/>
    </row>
    <row r="4566" spans="12:12" x14ac:dyDescent="0.25">
      <c r="L4566"/>
    </row>
    <row r="4567" spans="12:12" x14ac:dyDescent="0.25">
      <c r="L4567"/>
    </row>
    <row r="4568" spans="12:12" x14ac:dyDescent="0.25">
      <c r="L4568"/>
    </row>
    <row r="4569" spans="12:12" x14ac:dyDescent="0.25">
      <c r="L4569"/>
    </row>
    <row r="4570" spans="12:12" x14ac:dyDescent="0.25">
      <c r="L4570"/>
    </row>
    <row r="4571" spans="12:12" x14ac:dyDescent="0.25">
      <c r="L4571"/>
    </row>
    <row r="4572" spans="12:12" x14ac:dyDescent="0.25">
      <c r="L4572"/>
    </row>
    <row r="4573" spans="12:12" x14ac:dyDescent="0.25">
      <c r="L4573"/>
    </row>
    <row r="4574" spans="12:12" x14ac:dyDescent="0.25">
      <c r="L4574"/>
    </row>
    <row r="4575" spans="12:12" x14ac:dyDescent="0.25">
      <c r="L4575"/>
    </row>
    <row r="4576" spans="12:12" x14ac:dyDescent="0.25">
      <c r="L4576"/>
    </row>
    <row r="4577" spans="12:12" x14ac:dyDescent="0.25">
      <c r="L4577"/>
    </row>
    <row r="4578" spans="12:12" x14ac:dyDescent="0.25">
      <c r="L4578"/>
    </row>
    <row r="4579" spans="12:12" x14ac:dyDescent="0.25">
      <c r="L4579"/>
    </row>
    <row r="4580" spans="12:12" x14ac:dyDescent="0.25">
      <c r="L4580"/>
    </row>
    <row r="4581" spans="12:12" x14ac:dyDescent="0.25">
      <c r="L4581"/>
    </row>
    <row r="4582" spans="12:12" x14ac:dyDescent="0.25">
      <c r="L4582"/>
    </row>
    <row r="4583" spans="12:12" x14ac:dyDescent="0.25">
      <c r="L4583"/>
    </row>
    <row r="4584" spans="12:12" x14ac:dyDescent="0.25">
      <c r="L4584"/>
    </row>
    <row r="4585" spans="12:12" x14ac:dyDescent="0.25">
      <c r="L4585"/>
    </row>
    <row r="4586" spans="12:12" x14ac:dyDescent="0.25">
      <c r="L4586"/>
    </row>
    <row r="4587" spans="12:12" x14ac:dyDescent="0.25">
      <c r="L4587"/>
    </row>
    <row r="4588" spans="12:12" x14ac:dyDescent="0.25">
      <c r="L4588"/>
    </row>
    <row r="4589" spans="12:12" x14ac:dyDescent="0.25">
      <c r="L4589"/>
    </row>
    <row r="4590" spans="12:12" x14ac:dyDescent="0.25">
      <c r="L4590"/>
    </row>
    <row r="4591" spans="12:12" x14ac:dyDescent="0.25">
      <c r="L4591"/>
    </row>
    <row r="4592" spans="12:12" x14ac:dyDescent="0.25">
      <c r="L4592"/>
    </row>
    <row r="4593" spans="12:12" x14ac:dyDescent="0.25">
      <c r="L4593"/>
    </row>
    <row r="4594" spans="12:12" x14ac:dyDescent="0.25">
      <c r="L4594"/>
    </row>
    <row r="4595" spans="12:12" x14ac:dyDescent="0.25">
      <c r="L4595"/>
    </row>
    <row r="4596" spans="12:12" x14ac:dyDescent="0.25">
      <c r="L4596"/>
    </row>
    <row r="4597" spans="12:12" x14ac:dyDescent="0.25">
      <c r="L4597"/>
    </row>
    <row r="4598" spans="12:12" x14ac:dyDescent="0.25">
      <c r="L4598"/>
    </row>
    <row r="4599" spans="12:12" x14ac:dyDescent="0.25">
      <c r="L4599"/>
    </row>
    <row r="4600" spans="12:12" x14ac:dyDescent="0.25">
      <c r="L4600"/>
    </row>
    <row r="4601" spans="12:12" x14ac:dyDescent="0.25">
      <c r="L4601"/>
    </row>
    <row r="4602" spans="12:12" x14ac:dyDescent="0.25">
      <c r="L4602"/>
    </row>
    <row r="4603" spans="12:12" x14ac:dyDescent="0.25">
      <c r="L4603"/>
    </row>
    <row r="4604" spans="12:12" x14ac:dyDescent="0.25">
      <c r="L4604"/>
    </row>
    <row r="4605" spans="12:12" x14ac:dyDescent="0.25">
      <c r="L4605"/>
    </row>
    <row r="4606" spans="12:12" x14ac:dyDescent="0.25">
      <c r="L4606"/>
    </row>
    <row r="4607" spans="12:12" x14ac:dyDescent="0.25">
      <c r="L4607"/>
    </row>
    <row r="4608" spans="12:12" x14ac:dyDescent="0.25">
      <c r="L4608"/>
    </row>
    <row r="4609" spans="12:12" x14ac:dyDescent="0.25">
      <c r="L4609"/>
    </row>
    <row r="4610" spans="12:12" x14ac:dyDescent="0.25">
      <c r="L4610"/>
    </row>
    <row r="4611" spans="12:12" x14ac:dyDescent="0.25">
      <c r="L4611"/>
    </row>
    <row r="4612" spans="12:12" x14ac:dyDescent="0.25">
      <c r="L4612"/>
    </row>
    <row r="4613" spans="12:12" x14ac:dyDescent="0.25">
      <c r="L4613"/>
    </row>
    <row r="4614" spans="12:12" x14ac:dyDescent="0.25">
      <c r="L4614"/>
    </row>
    <row r="4615" spans="12:12" x14ac:dyDescent="0.25">
      <c r="L4615"/>
    </row>
    <row r="4616" spans="12:12" x14ac:dyDescent="0.25">
      <c r="L4616"/>
    </row>
    <row r="4617" spans="12:12" x14ac:dyDescent="0.25">
      <c r="L4617"/>
    </row>
    <row r="4618" spans="12:12" x14ac:dyDescent="0.25">
      <c r="L4618"/>
    </row>
    <row r="4619" spans="12:12" x14ac:dyDescent="0.25">
      <c r="L4619"/>
    </row>
    <row r="4620" spans="12:12" x14ac:dyDescent="0.25">
      <c r="L4620"/>
    </row>
    <row r="4621" spans="12:12" x14ac:dyDescent="0.25">
      <c r="L4621"/>
    </row>
    <row r="4622" spans="12:12" x14ac:dyDescent="0.25">
      <c r="L4622"/>
    </row>
    <row r="4623" spans="12:12" x14ac:dyDescent="0.25">
      <c r="L4623"/>
    </row>
    <row r="4624" spans="12:12" x14ac:dyDescent="0.25">
      <c r="L4624"/>
    </row>
    <row r="4625" spans="12:12" x14ac:dyDescent="0.25">
      <c r="L4625"/>
    </row>
    <row r="4626" spans="12:12" x14ac:dyDescent="0.25">
      <c r="L4626"/>
    </row>
    <row r="4627" spans="12:12" x14ac:dyDescent="0.25">
      <c r="L4627"/>
    </row>
    <row r="4628" spans="12:12" x14ac:dyDescent="0.25">
      <c r="L4628"/>
    </row>
    <row r="4629" spans="12:12" x14ac:dyDescent="0.25">
      <c r="L4629"/>
    </row>
    <row r="4630" spans="12:12" x14ac:dyDescent="0.25">
      <c r="L4630"/>
    </row>
    <row r="4631" spans="12:12" x14ac:dyDescent="0.25">
      <c r="L4631"/>
    </row>
    <row r="4632" spans="12:12" x14ac:dyDescent="0.25">
      <c r="L4632"/>
    </row>
    <row r="4633" spans="12:12" x14ac:dyDescent="0.25">
      <c r="L4633"/>
    </row>
    <row r="4634" spans="12:12" x14ac:dyDescent="0.25">
      <c r="L4634"/>
    </row>
    <row r="4635" spans="12:12" x14ac:dyDescent="0.25">
      <c r="L4635"/>
    </row>
    <row r="4636" spans="12:12" x14ac:dyDescent="0.25">
      <c r="L4636"/>
    </row>
    <row r="4637" spans="12:12" x14ac:dyDescent="0.25">
      <c r="L4637"/>
    </row>
    <row r="4638" spans="12:12" x14ac:dyDescent="0.25">
      <c r="L4638"/>
    </row>
    <row r="4639" spans="12:12" x14ac:dyDescent="0.25">
      <c r="L4639"/>
    </row>
    <row r="4640" spans="12:12" x14ac:dyDescent="0.25">
      <c r="L4640"/>
    </row>
    <row r="4641" spans="12:12" x14ac:dyDescent="0.25">
      <c r="L4641"/>
    </row>
    <row r="4642" spans="12:12" x14ac:dyDescent="0.25">
      <c r="L4642"/>
    </row>
    <row r="4643" spans="12:12" x14ac:dyDescent="0.25">
      <c r="L4643"/>
    </row>
    <row r="4644" spans="12:12" x14ac:dyDescent="0.25">
      <c r="L4644"/>
    </row>
    <row r="4645" spans="12:12" x14ac:dyDescent="0.25">
      <c r="L4645"/>
    </row>
    <row r="4646" spans="12:12" x14ac:dyDescent="0.25">
      <c r="L4646"/>
    </row>
    <row r="4647" spans="12:12" x14ac:dyDescent="0.25">
      <c r="L4647"/>
    </row>
    <row r="4648" spans="12:12" x14ac:dyDescent="0.25">
      <c r="L4648"/>
    </row>
    <row r="4649" spans="12:12" x14ac:dyDescent="0.25">
      <c r="L4649"/>
    </row>
    <row r="4650" spans="12:12" x14ac:dyDescent="0.25">
      <c r="L4650"/>
    </row>
    <row r="4651" spans="12:12" x14ac:dyDescent="0.25">
      <c r="L4651"/>
    </row>
    <row r="4652" spans="12:12" x14ac:dyDescent="0.25">
      <c r="L4652"/>
    </row>
    <row r="4653" spans="12:12" x14ac:dyDescent="0.25">
      <c r="L4653"/>
    </row>
    <row r="4654" spans="12:12" x14ac:dyDescent="0.25">
      <c r="L4654"/>
    </row>
    <row r="4655" spans="12:12" x14ac:dyDescent="0.25">
      <c r="L4655"/>
    </row>
    <row r="4656" spans="12:12" x14ac:dyDescent="0.25">
      <c r="L4656"/>
    </row>
    <row r="4657" spans="12:12" x14ac:dyDescent="0.25">
      <c r="L4657"/>
    </row>
    <row r="4658" spans="12:12" x14ac:dyDescent="0.25">
      <c r="L4658"/>
    </row>
    <row r="4659" spans="12:12" x14ac:dyDescent="0.25">
      <c r="L4659"/>
    </row>
    <row r="4660" spans="12:12" x14ac:dyDescent="0.25">
      <c r="L4660"/>
    </row>
    <row r="4661" spans="12:12" x14ac:dyDescent="0.25">
      <c r="L4661"/>
    </row>
    <row r="4662" spans="12:12" x14ac:dyDescent="0.25">
      <c r="L4662"/>
    </row>
    <row r="4663" spans="12:12" x14ac:dyDescent="0.25">
      <c r="L4663"/>
    </row>
    <row r="4664" spans="12:12" x14ac:dyDescent="0.25">
      <c r="L4664"/>
    </row>
    <row r="4665" spans="12:12" x14ac:dyDescent="0.25">
      <c r="L4665"/>
    </row>
    <row r="4666" spans="12:12" x14ac:dyDescent="0.25">
      <c r="L4666"/>
    </row>
    <row r="4667" spans="12:12" x14ac:dyDescent="0.25">
      <c r="L4667"/>
    </row>
    <row r="4668" spans="12:12" x14ac:dyDescent="0.25">
      <c r="L4668"/>
    </row>
    <row r="4669" spans="12:12" x14ac:dyDescent="0.25">
      <c r="L4669"/>
    </row>
    <row r="4670" spans="12:12" x14ac:dyDescent="0.25">
      <c r="L4670"/>
    </row>
    <row r="4671" spans="12:12" x14ac:dyDescent="0.25">
      <c r="L4671"/>
    </row>
    <row r="4672" spans="12:12" x14ac:dyDescent="0.25">
      <c r="L4672"/>
    </row>
    <row r="4673" spans="12:12" x14ac:dyDescent="0.25">
      <c r="L4673"/>
    </row>
    <row r="4674" spans="12:12" x14ac:dyDescent="0.25">
      <c r="L4674"/>
    </row>
    <row r="4675" spans="12:12" x14ac:dyDescent="0.25">
      <c r="L4675"/>
    </row>
    <row r="4676" spans="12:12" x14ac:dyDescent="0.25">
      <c r="L4676"/>
    </row>
    <row r="4677" spans="12:12" x14ac:dyDescent="0.25">
      <c r="L4677"/>
    </row>
    <row r="4678" spans="12:12" x14ac:dyDescent="0.25">
      <c r="L4678"/>
    </row>
    <row r="4679" spans="12:12" x14ac:dyDescent="0.25">
      <c r="L4679"/>
    </row>
    <row r="4680" spans="12:12" x14ac:dyDescent="0.25">
      <c r="L4680"/>
    </row>
    <row r="4681" spans="12:12" x14ac:dyDescent="0.25">
      <c r="L4681"/>
    </row>
    <row r="4682" spans="12:12" x14ac:dyDescent="0.25">
      <c r="L4682"/>
    </row>
    <row r="4683" spans="12:12" x14ac:dyDescent="0.25">
      <c r="L4683"/>
    </row>
    <row r="4684" spans="12:12" x14ac:dyDescent="0.25">
      <c r="L4684"/>
    </row>
    <row r="4685" spans="12:12" x14ac:dyDescent="0.25">
      <c r="L4685"/>
    </row>
    <row r="4686" spans="12:12" x14ac:dyDescent="0.25">
      <c r="L4686"/>
    </row>
    <row r="4687" spans="12:12" x14ac:dyDescent="0.25">
      <c r="L4687"/>
    </row>
    <row r="4688" spans="12:12" x14ac:dyDescent="0.25">
      <c r="L4688"/>
    </row>
    <row r="4689" spans="12:12" x14ac:dyDescent="0.25">
      <c r="L4689"/>
    </row>
    <row r="4690" spans="12:12" x14ac:dyDescent="0.25">
      <c r="L4690"/>
    </row>
    <row r="4691" spans="12:12" x14ac:dyDescent="0.25">
      <c r="L4691"/>
    </row>
    <row r="4692" spans="12:12" x14ac:dyDescent="0.25">
      <c r="L4692"/>
    </row>
    <row r="4693" spans="12:12" x14ac:dyDescent="0.25">
      <c r="L4693"/>
    </row>
    <row r="4694" spans="12:12" x14ac:dyDescent="0.25">
      <c r="L4694"/>
    </row>
    <row r="4695" spans="12:12" x14ac:dyDescent="0.25">
      <c r="L4695"/>
    </row>
    <row r="4696" spans="12:12" x14ac:dyDescent="0.25">
      <c r="L4696"/>
    </row>
    <row r="4697" spans="12:12" x14ac:dyDescent="0.25">
      <c r="L4697"/>
    </row>
    <row r="4698" spans="12:12" x14ac:dyDescent="0.25">
      <c r="L4698"/>
    </row>
    <row r="4699" spans="12:12" x14ac:dyDescent="0.25">
      <c r="L4699"/>
    </row>
    <row r="4700" spans="12:12" x14ac:dyDescent="0.25">
      <c r="L4700"/>
    </row>
    <row r="4701" spans="12:12" x14ac:dyDescent="0.25">
      <c r="L4701"/>
    </row>
    <row r="4702" spans="12:12" x14ac:dyDescent="0.25">
      <c r="L4702"/>
    </row>
    <row r="4703" spans="12:12" x14ac:dyDescent="0.25">
      <c r="L4703"/>
    </row>
    <row r="4704" spans="12:12" x14ac:dyDescent="0.25">
      <c r="L4704"/>
    </row>
    <row r="4705" spans="12:12" x14ac:dyDescent="0.25">
      <c r="L4705"/>
    </row>
    <row r="4706" spans="12:12" x14ac:dyDescent="0.25">
      <c r="L4706"/>
    </row>
    <row r="4707" spans="12:12" x14ac:dyDescent="0.25">
      <c r="L4707"/>
    </row>
    <row r="4708" spans="12:12" x14ac:dyDescent="0.25">
      <c r="L4708"/>
    </row>
    <row r="4709" spans="12:12" x14ac:dyDescent="0.25">
      <c r="L4709"/>
    </row>
    <row r="4710" spans="12:12" x14ac:dyDescent="0.25">
      <c r="L4710"/>
    </row>
    <row r="4711" spans="12:12" x14ac:dyDescent="0.25">
      <c r="L4711"/>
    </row>
    <row r="4712" spans="12:12" x14ac:dyDescent="0.25">
      <c r="L4712"/>
    </row>
    <row r="4713" spans="12:12" x14ac:dyDescent="0.25">
      <c r="L4713"/>
    </row>
    <row r="4714" spans="12:12" x14ac:dyDescent="0.25">
      <c r="L4714"/>
    </row>
    <row r="4715" spans="12:12" x14ac:dyDescent="0.25">
      <c r="L4715"/>
    </row>
    <row r="4716" spans="12:12" x14ac:dyDescent="0.25">
      <c r="L4716"/>
    </row>
    <row r="4717" spans="12:12" x14ac:dyDescent="0.25">
      <c r="L4717"/>
    </row>
    <row r="4718" spans="12:12" x14ac:dyDescent="0.25">
      <c r="L4718"/>
    </row>
    <row r="4719" spans="12:12" x14ac:dyDescent="0.25">
      <c r="L4719"/>
    </row>
    <row r="4720" spans="12:12" x14ac:dyDescent="0.25">
      <c r="L4720"/>
    </row>
    <row r="4721" spans="12:12" x14ac:dyDescent="0.25">
      <c r="L4721"/>
    </row>
    <row r="4722" spans="12:12" x14ac:dyDescent="0.25">
      <c r="L4722"/>
    </row>
    <row r="4723" spans="12:12" x14ac:dyDescent="0.25">
      <c r="L4723"/>
    </row>
    <row r="4724" spans="12:12" x14ac:dyDescent="0.25">
      <c r="L4724"/>
    </row>
    <row r="4725" spans="12:12" x14ac:dyDescent="0.25">
      <c r="L4725"/>
    </row>
    <row r="4726" spans="12:12" x14ac:dyDescent="0.25">
      <c r="L4726"/>
    </row>
    <row r="4727" spans="12:12" x14ac:dyDescent="0.25">
      <c r="L4727"/>
    </row>
    <row r="4728" spans="12:12" x14ac:dyDescent="0.25">
      <c r="L4728"/>
    </row>
    <row r="4729" spans="12:12" x14ac:dyDescent="0.25">
      <c r="L4729"/>
    </row>
    <row r="4730" spans="12:12" x14ac:dyDescent="0.25">
      <c r="L4730"/>
    </row>
    <row r="4731" spans="12:12" x14ac:dyDescent="0.25">
      <c r="L4731"/>
    </row>
    <row r="4732" spans="12:12" x14ac:dyDescent="0.25">
      <c r="L4732"/>
    </row>
    <row r="4733" spans="12:12" x14ac:dyDescent="0.25">
      <c r="L4733"/>
    </row>
    <row r="4734" spans="12:12" x14ac:dyDescent="0.25">
      <c r="L4734"/>
    </row>
    <row r="4735" spans="12:12" x14ac:dyDescent="0.25">
      <c r="L4735"/>
    </row>
    <row r="4736" spans="12:12" x14ac:dyDescent="0.25">
      <c r="L4736"/>
    </row>
    <row r="4737" spans="12:12" x14ac:dyDescent="0.25">
      <c r="L4737"/>
    </row>
    <row r="4738" spans="12:12" x14ac:dyDescent="0.25">
      <c r="L4738"/>
    </row>
    <row r="4739" spans="12:12" x14ac:dyDescent="0.25">
      <c r="L4739"/>
    </row>
    <row r="4740" spans="12:12" x14ac:dyDescent="0.25">
      <c r="L4740"/>
    </row>
    <row r="4741" spans="12:12" x14ac:dyDescent="0.25">
      <c r="L4741"/>
    </row>
    <row r="4742" spans="12:12" x14ac:dyDescent="0.25">
      <c r="L4742"/>
    </row>
    <row r="4743" spans="12:12" x14ac:dyDescent="0.25">
      <c r="L4743"/>
    </row>
    <row r="4744" spans="12:12" x14ac:dyDescent="0.25">
      <c r="L4744"/>
    </row>
    <row r="4745" spans="12:12" x14ac:dyDescent="0.25">
      <c r="L4745"/>
    </row>
    <row r="4746" spans="12:12" x14ac:dyDescent="0.25">
      <c r="L4746"/>
    </row>
    <row r="4747" spans="12:12" x14ac:dyDescent="0.25">
      <c r="L4747"/>
    </row>
    <row r="4748" spans="12:12" x14ac:dyDescent="0.25">
      <c r="L4748"/>
    </row>
    <row r="4749" spans="12:12" x14ac:dyDescent="0.25">
      <c r="L4749"/>
    </row>
    <row r="4750" spans="12:12" x14ac:dyDescent="0.25">
      <c r="L4750"/>
    </row>
    <row r="4751" spans="12:12" x14ac:dyDescent="0.25">
      <c r="L4751"/>
    </row>
    <row r="4752" spans="12:12" x14ac:dyDescent="0.25">
      <c r="L4752"/>
    </row>
    <row r="4753" spans="12:12" x14ac:dyDescent="0.25">
      <c r="L4753"/>
    </row>
    <row r="4754" spans="12:12" x14ac:dyDescent="0.25">
      <c r="L4754"/>
    </row>
    <row r="4755" spans="12:12" x14ac:dyDescent="0.25">
      <c r="L4755"/>
    </row>
    <row r="4756" spans="12:12" x14ac:dyDescent="0.25">
      <c r="L4756"/>
    </row>
    <row r="4757" spans="12:12" x14ac:dyDescent="0.25">
      <c r="L4757"/>
    </row>
    <row r="4758" spans="12:12" x14ac:dyDescent="0.25">
      <c r="L4758"/>
    </row>
    <row r="4759" spans="12:12" x14ac:dyDescent="0.25">
      <c r="L4759"/>
    </row>
    <row r="4760" spans="12:12" x14ac:dyDescent="0.25">
      <c r="L4760"/>
    </row>
    <row r="4761" spans="12:12" x14ac:dyDescent="0.25">
      <c r="L4761"/>
    </row>
    <row r="4762" spans="12:12" x14ac:dyDescent="0.25">
      <c r="L4762"/>
    </row>
    <row r="4763" spans="12:12" x14ac:dyDescent="0.25">
      <c r="L4763"/>
    </row>
    <row r="4764" spans="12:12" x14ac:dyDescent="0.25">
      <c r="L4764"/>
    </row>
    <row r="4765" spans="12:12" x14ac:dyDescent="0.25">
      <c r="L4765"/>
    </row>
    <row r="4766" spans="12:12" x14ac:dyDescent="0.25">
      <c r="L4766"/>
    </row>
    <row r="4767" spans="12:12" x14ac:dyDescent="0.25">
      <c r="L4767"/>
    </row>
    <row r="4768" spans="12:12" x14ac:dyDescent="0.25">
      <c r="L4768"/>
    </row>
    <row r="4769" spans="12:12" x14ac:dyDescent="0.25">
      <c r="L4769"/>
    </row>
    <row r="4770" spans="12:12" x14ac:dyDescent="0.25">
      <c r="L4770"/>
    </row>
    <row r="4771" spans="12:12" x14ac:dyDescent="0.25">
      <c r="L4771"/>
    </row>
    <row r="4772" spans="12:12" x14ac:dyDescent="0.25">
      <c r="L4772"/>
    </row>
    <row r="4773" spans="12:12" x14ac:dyDescent="0.25">
      <c r="L4773"/>
    </row>
    <row r="4774" spans="12:12" x14ac:dyDescent="0.25">
      <c r="L4774"/>
    </row>
    <row r="4775" spans="12:12" x14ac:dyDescent="0.25">
      <c r="L4775"/>
    </row>
    <row r="4776" spans="12:12" x14ac:dyDescent="0.25">
      <c r="L4776"/>
    </row>
    <row r="4777" spans="12:12" x14ac:dyDescent="0.25">
      <c r="L4777"/>
    </row>
    <row r="4778" spans="12:12" x14ac:dyDescent="0.25">
      <c r="L4778"/>
    </row>
    <row r="4779" spans="12:12" x14ac:dyDescent="0.25">
      <c r="L4779"/>
    </row>
    <row r="4780" spans="12:12" x14ac:dyDescent="0.25">
      <c r="L4780"/>
    </row>
    <row r="4781" spans="12:12" x14ac:dyDescent="0.25">
      <c r="L4781"/>
    </row>
    <row r="4782" spans="12:12" x14ac:dyDescent="0.25">
      <c r="L4782"/>
    </row>
    <row r="4783" spans="12:12" x14ac:dyDescent="0.25">
      <c r="L4783"/>
    </row>
    <row r="4784" spans="12:12" x14ac:dyDescent="0.25">
      <c r="L4784"/>
    </row>
    <row r="4785" spans="12:12" x14ac:dyDescent="0.25">
      <c r="L4785"/>
    </row>
    <row r="4786" spans="12:12" x14ac:dyDescent="0.25">
      <c r="L4786"/>
    </row>
    <row r="4787" spans="12:12" x14ac:dyDescent="0.25">
      <c r="L4787"/>
    </row>
    <row r="4788" spans="12:12" x14ac:dyDescent="0.25">
      <c r="L4788"/>
    </row>
    <row r="4789" spans="12:12" x14ac:dyDescent="0.25">
      <c r="L4789"/>
    </row>
    <row r="4790" spans="12:12" x14ac:dyDescent="0.25">
      <c r="L4790"/>
    </row>
    <row r="4791" spans="12:12" x14ac:dyDescent="0.25">
      <c r="L4791"/>
    </row>
    <row r="4792" spans="12:12" x14ac:dyDescent="0.25">
      <c r="L4792"/>
    </row>
    <row r="4793" spans="12:12" x14ac:dyDescent="0.25">
      <c r="L4793"/>
    </row>
    <row r="4794" spans="12:12" x14ac:dyDescent="0.25">
      <c r="L4794"/>
    </row>
    <row r="4795" spans="12:12" x14ac:dyDescent="0.25">
      <c r="L4795"/>
    </row>
    <row r="4796" spans="12:12" x14ac:dyDescent="0.25">
      <c r="L4796"/>
    </row>
    <row r="4797" spans="12:12" x14ac:dyDescent="0.25">
      <c r="L4797"/>
    </row>
    <row r="4798" spans="12:12" x14ac:dyDescent="0.25">
      <c r="L4798"/>
    </row>
    <row r="4799" spans="12:12" x14ac:dyDescent="0.25">
      <c r="L4799"/>
    </row>
    <row r="4800" spans="12:12" x14ac:dyDescent="0.25">
      <c r="L4800"/>
    </row>
    <row r="4801" spans="12:12" x14ac:dyDescent="0.25">
      <c r="L4801"/>
    </row>
    <row r="4802" spans="12:12" x14ac:dyDescent="0.25">
      <c r="L4802"/>
    </row>
    <row r="4803" spans="12:12" x14ac:dyDescent="0.25">
      <c r="L4803"/>
    </row>
    <row r="4804" spans="12:12" x14ac:dyDescent="0.25">
      <c r="L4804"/>
    </row>
    <row r="4805" spans="12:12" x14ac:dyDescent="0.25">
      <c r="L4805"/>
    </row>
    <row r="4806" spans="12:12" x14ac:dyDescent="0.25">
      <c r="L4806"/>
    </row>
    <row r="4807" spans="12:12" x14ac:dyDescent="0.25">
      <c r="L4807"/>
    </row>
    <row r="4808" spans="12:12" x14ac:dyDescent="0.25">
      <c r="L4808"/>
    </row>
    <row r="4809" spans="12:12" x14ac:dyDescent="0.25">
      <c r="L4809"/>
    </row>
    <row r="4810" spans="12:12" x14ac:dyDescent="0.25">
      <c r="L4810"/>
    </row>
    <row r="4811" spans="12:12" x14ac:dyDescent="0.25">
      <c r="L4811"/>
    </row>
    <row r="4812" spans="12:12" x14ac:dyDescent="0.25">
      <c r="L4812"/>
    </row>
    <row r="4813" spans="12:12" x14ac:dyDescent="0.25">
      <c r="L4813"/>
    </row>
    <row r="4814" spans="12:12" x14ac:dyDescent="0.25">
      <c r="L4814"/>
    </row>
    <row r="4815" spans="12:12" x14ac:dyDescent="0.25">
      <c r="L4815"/>
    </row>
    <row r="4816" spans="12:12" x14ac:dyDescent="0.25">
      <c r="L4816"/>
    </row>
    <row r="4817" spans="12:12" x14ac:dyDescent="0.25">
      <c r="L4817"/>
    </row>
    <row r="4818" spans="12:12" x14ac:dyDescent="0.25">
      <c r="L4818"/>
    </row>
    <row r="4819" spans="12:12" x14ac:dyDescent="0.25">
      <c r="L4819"/>
    </row>
    <row r="4820" spans="12:12" x14ac:dyDescent="0.25">
      <c r="L4820"/>
    </row>
    <row r="4821" spans="12:12" x14ac:dyDescent="0.25">
      <c r="L4821"/>
    </row>
    <row r="4822" spans="12:12" x14ac:dyDescent="0.25">
      <c r="L4822"/>
    </row>
    <row r="4823" spans="12:12" x14ac:dyDescent="0.25">
      <c r="L4823"/>
    </row>
    <row r="4824" spans="12:12" x14ac:dyDescent="0.25">
      <c r="L4824"/>
    </row>
    <row r="4825" spans="12:12" x14ac:dyDescent="0.25">
      <c r="L4825"/>
    </row>
    <row r="4826" spans="12:12" x14ac:dyDescent="0.25">
      <c r="L4826"/>
    </row>
    <row r="4827" spans="12:12" x14ac:dyDescent="0.25">
      <c r="L4827"/>
    </row>
    <row r="4828" spans="12:12" x14ac:dyDescent="0.25">
      <c r="L4828"/>
    </row>
    <row r="4829" spans="12:12" x14ac:dyDescent="0.25">
      <c r="L4829"/>
    </row>
    <row r="4830" spans="12:12" x14ac:dyDescent="0.25">
      <c r="L4830"/>
    </row>
    <row r="4831" spans="12:12" x14ac:dyDescent="0.25">
      <c r="L4831"/>
    </row>
    <row r="4832" spans="12:12" x14ac:dyDescent="0.25">
      <c r="L4832"/>
    </row>
    <row r="4833" spans="12:12" x14ac:dyDescent="0.25">
      <c r="L4833"/>
    </row>
    <row r="4834" spans="12:12" x14ac:dyDescent="0.25">
      <c r="L4834"/>
    </row>
    <row r="4835" spans="12:12" x14ac:dyDescent="0.25">
      <c r="L4835"/>
    </row>
    <row r="4836" spans="12:12" x14ac:dyDescent="0.25">
      <c r="L4836"/>
    </row>
    <row r="4837" spans="12:12" x14ac:dyDescent="0.25">
      <c r="L4837"/>
    </row>
    <row r="4838" spans="12:12" x14ac:dyDescent="0.25">
      <c r="L4838"/>
    </row>
    <row r="4839" spans="12:12" x14ac:dyDescent="0.25">
      <c r="L4839"/>
    </row>
    <row r="4840" spans="12:12" x14ac:dyDescent="0.25">
      <c r="L4840"/>
    </row>
    <row r="4841" spans="12:12" x14ac:dyDescent="0.25">
      <c r="L4841"/>
    </row>
    <row r="4842" spans="12:12" x14ac:dyDescent="0.25">
      <c r="L4842"/>
    </row>
    <row r="4843" spans="12:12" x14ac:dyDescent="0.25">
      <c r="L4843"/>
    </row>
    <row r="4844" spans="12:12" x14ac:dyDescent="0.25">
      <c r="L4844"/>
    </row>
    <row r="4845" spans="12:12" x14ac:dyDescent="0.25">
      <c r="L4845"/>
    </row>
    <row r="4846" spans="12:12" x14ac:dyDescent="0.25">
      <c r="L4846"/>
    </row>
    <row r="4847" spans="12:12" x14ac:dyDescent="0.25">
      <c r="L4847"/>
    </row>
    <row r="4848" spans="12:12" x14ac:dyDescent="0.25">
      <c r="L4848"/>
    </row>
    <row r="4849" spans="12:12" x14ac:dyDescent="0.25">
      <c r="L4849"/>
    </row>
    <row r="4850" spans="12:12" x14ac:dyDescent="0.25">
      <c r="L4850"/>
    </row>
    <row r="4851" spans="12:12" x14ac:dyDescent="0.25">
      <c r="L4851"/>
    </row>
    <row r="4852" spans="12:12" x14ac:dyDescent="0.25">
      <c r="L4852"/>
    </row>
    <row r="4853" spans="12:12" x14ac:dyDescent="0.25">
      <c r="L4853"/>
    </row>
    <row r="4854" spans="12:12" x14ac:dyDescent="0.25">
      <c r="L4854"/>
    </row>
    <row r="4855" spans="12:12" x14ac:dyDescent="0.25">
      <c r="L4855"/>
    </row>
    <row r="4856" spans="12:12" x14ac:dyDescent="0.25">
      <c r="L4856"/>
    </row>
    <row r="4857" spans="12:12" x14ac:dyDescent="0.25">
      <c r="L4857"/>
    </row>
    <row r="4858" spans="12:12" x14ac:dyDescent="0.25">
      <c r="L4858"/>
    </row>
    <row r="4859" spans="12:12" x14ac:dyDescent="0.25">
      <c r="L4859"/>
    </row>
    <row r="4860" spans="12:12" x14ac:dyDescent="0.25">
      <c r="L4860"/>
    </row>
    <row r="4861" spans="12:12" x14ac:dyDescent="0.25">
      <c r="L4861"/>
    </row>
    <row r="4862" spans="12:12" x14ac:dyDescent="0.25">
      <c r="L4862"/>
    </row>
    <row r="4863" spans="12:12" x14ac:dyDescent="0.25">
      <c r="L4863"/>
    </row>
    <row r="4864" spans="12:12" x14ac:dyDescent="0.25">
      <c r="L4864"/>
    </row>
    <row r="4865" spans="12:12" x14ac:dyDescent="0.25">
      <c r="L4865"/>
    </row>
    <row r="4866" spans="12:12" x14ac:dyDescent="0.25">
      <c r="L4866"/>
    </row>
    <row r="4867" spans="12:12" x14ac:dyDescent="0.25">
      <c r="L4867"/>
    </row>
    <row r="4868" spans="12:12" x14ac:dyDescent="0.25">
      <c r="L4868"/>
    </row>
    <row r="4869" spans="12:12" x14ac:dyDescent="0.25">
      <c r="L4869"/>
    </row>
    <row r="4870" spans="12:12" x14ac:dyDescent="0.25">
      <c r="L4870"/>
    </row>
    <row r="4871" spans="12:12" x14ac:dyDescent="0.25">
      <c r="L4871"/>
    </row>
    <row r="4872" spans="12:12" x14ac:dyDescent="0.25">
      <c r="L4872"/>
    </row>
    <row r="4873" spans="12:12" x14ac:dyDescent="0.25">
      <c r="L4873"/>
    </row>
    <row r="4874" spans="12:12" x14ac:dyDescent="0.25">
      <c r="L4874"/>
    </row>
    <row r="4875" spans="12:12" x14ac:dyDescent="0.25">
      <c r="L4875"/>
    </row>
    <row r="4876" spans="12:12" x14ac:dyDescent="0.25">
      <c r="L4876"/>
    </row>
    <row r="4877" spans="12:12" x14ac:dyDescent="0.25">
      <c r="L4877"/>
    </row>
    <row r="4878" spans="12:12" x14ac:dyDescent="0.25">
      <c r="L4878"/>
    </row>
    <row r="4879" spans="12:12" x14ac:dyDescent="0.25">
      <c r="L4879"/>
    </row>
    <row r="4880" spans="12:12" x14ac:dyDescent="0.25">
      <c r="L4880"/>
    </row>
    <row r="4881" spans="12:12" x14ac:dyDescent="0.25">
      <c r="L4881"/>
    </row>
    <row r="4882" spans="12:12" x14ac:dyDescent="0.25">
      <c r="L4882"/>
    </row>
    <row r="4883" spans="12:12" x14ac:dyDescent="0.25">
      <c r="L4883"/>
    </row>
    <row r="4884" spans="12:12" x14ac:dyDescent="0.25">
      <c r="L4884"/>
    </row>
    <row r="4885" spans="12:12" x14ac:dyDescent="0.25">
      <c r="L4885"/>
    </row>
    <row r="4886" spans="12:12" x14ac:dyDescent="0.25">
      <c r="L4886"/>
    </row>
    <row r="4887" spans="12:12" x14ac:dyDescent="0.25">
      <c r="L4887"/>
    </row>
    <row r="4888" spans="12:12" x14ac:dyDescent="0.25">
      <c r="L4888"/>
    </row>
    <row r="4889" spans="12:12" x14ac:dyDescent="0.25">
      <c r="L4889"/>
    </row>
    <row r="4890" spans="12:12" x14ac:dyDescent="0.25">
      <c r="L4890"/>
    </row>
    <row r="4891" spans="12:12" x14ac:dyDescent="0.25">
      <c r="L4891"/>
    </row>
    <row r="4892" spans="12:12" x14ac:dyDescent="0.25">
      <c r="L4892"/>
    </row>
    <row r="4893" spans="12:12" x14ac:dyDescent="0.25">
      <c r="L4893"/>
    </row>
    <row r="4894" spans="12:12" x14ac:dyDescent="0.25">
      <c r="L4894"/>
    </row>
    <row r="4895" spans="12:12" x14ac:dyDescent="0.25">
      <c r="L4895"/>
    </row>
    <row r="4896" spans="12:12" x14ac:dyDescent="0.25">
      <c r="L4896"/>
    </row>
    <row r="4897" spans="12:12" x14ac:dyDescent="0.25">
      <c r="L4897"/>
    </row>
    <row r="4898" spans="12:12" x14ac:dyDescent="0.25">
      <c r="L4898"/>
    </row>
    <row r="4899" spans="12:12" x14ac:dyDescent="0.25">
      <c r="L4899"/>
    </row>
    <row r="4900" spans="12:12" x14ac:dyDescent="0.25">
      <c r="L4900"/>
    </row>
    <row r="4901" spans="12:12" x14ac:dyDescent="0.25">
      <c r="L4901"/>
    </row>
    <row r="4902" spans="12:12" x14ac:dyDescent="0.25">
      <c r="L4902"/>
    </row>
    <row r="4903" spans="12:12" x14ac:dyDescent="0.25">
      <c r="L4903"/>
    </row>
    <row r="4904" spans="12:12" x14ac:dyDescent="0.25">
      <c r="L4904"/>
    </row>
    <row r="4905" spans="12:12" x14ac:dyDescent="0.25">
      <c r="L4905"/>
    </row>
    <row r="4906" spans="12:12" x14ac:dyDescent="0.25">
      <c r="L4906"/>
    </row>
    <row r="4907" spans="12:12" x14ac:dyDescent="0.25">
      <c r="L4907"/>
    </row>
    <row r="4908" spans="12:12" x14ac:dyDescent="0.25">
      <c r="L4908"/>
    </row>
    <row r="4909" spans="12:12" x14ac:dyDescent="0.25">
      <c r="L4909"/>
    </row>
    <row r="4910" spans="12:12" x14ac:dyDescent="0.25">
      <c r="L4910"/>
    </row>
    <row r="4911" spans="12:12" x14ac:dyDescent="0.25">
      <c r="L4911"/>
    </row>
    <row r="4912" spans="12:12" x14ac:dyDescent="0.25">
      <c r="L4912"/>
    </row>
    <row r="4913" spans="12:12" x14ac:dyDescent="0.25">
      <c r="L4913"/>
    </row>
    <row r="4914" spans="12:12" x14ac:dyDescent="0.25">
      <c r="L4914"/>
    </row>
    <row r="4915" spans="12:12" x14ac:dyDescent="0.25">
      <c r="L4915"/>
    </row>
    <row r="4916" spans="12:12" x14ac:dyDescent="0.25">
      <c r="L4916"/>
    </row>
    <row r="4917" spans="12:12" x14ac:dyDescent="0.25">
      <c r="L4917"/>
    </row>
    <row r="4918" spans="12:12" x14ac:dyDescent="0.25">
      <c r="L4918"/>
    </row>
    <row r="4919" spans="12:12" x14ac:dyDescent="0.25">
      <c r="L4919"/>
    </row>
    <row r="4920" spans="12:12" x14ac:dyDescent="0.25">
      <c r="L4920"/>
    </row>
    <row r="4921" spans="12:12" x14ac:dyDescent="0.25">
      <c r="L4921"/>
    </row>
    <row r="4922" spans="12:12" x14ac:dyDescent="0.25">
      <c r="L4922"/>
    </row>
    <row r="4923" spans="12:12" x14ac:dyDescent="0.25">
      <c r="L4923"/>
    </row>
    <row r="4924" spans="12:12" x14ac:dyDescent="0.25">
      <c r="L4924"/>
    </row>
    <row r="4925" spans="12:12" x14ac:dyDescent="0.25">
      <c r="L4925"/>
    </row>
    <row r="4926" spans="12:12" x14ac:dyDescent="0.25">
      <c r="L4926"/>
    </row>
    <row r="4927" spans="12:12" x14ac:dyDescent="0.25">
      <c r="L4927"/>
    </row>
    <row r="4928" spans="12:12" x14ac:dyDescent="0.25">
      <c r="L4928"/>
    </row>
    <row r="4929" spans="12:12" x14ac:dyDescent="0.25">
      <c r="L4929"/>
    </row>
    <row r="4930" spans="12:12" x14ac:dyDescent="0.25">
      <c r="L4930"/>
    </row>
    <row r="4931" spans="12:12" x14ac:dyDescent="0.25">
      <c r="L4931"/>
    </row>
    <row r="4932" spans="12:12" x14ac:dyDescent="0.25">
      <c r="L4932"/>
    </row>
    <row r="4933" spans="12:12" x14ac:dyDescent="0.25">
      <c r="L4933"/>
    </row>
    <row r="4934" spans="12:12" x14ac:dyDescent="0.25">
      <c r="L4934"/>
    </row>
    <row r="4935" spans="12:12" x14ac:dyDescent="0.25">
      <c r="L4935"/>
    </row>
    <row r="4936" spans="12:12" x14ac:dyDescent="0.25">
      <c r="L4936"/>
    </row>
    <row r="4937" spans="12:12" x14ac:dyDescent="0.25">
      <c r="L4937"/>
    </row>
    <row r="4938" spans="12:12" x14ac:dyDescent="0.25">
      <c r="L4938"/>
    </row>
    <row r="4939" spans="12:12" x14ac:dyDescent="0.25">
      <c r="L4939"/>
    </row>
    <row r="4940" spans="12:12" x14ac:dyDescent="0.25">
      <c r="L4940"/>
    </row>
    <row r="4941" spans="12:12" x14ac:dyDescent="0.25">
      <c r="L4941"/>
    </row>
    <row r="4942" spans="12:12" x14ac:dyDescent="0.25">
      <c r="L4942"/>
    </row>
    <row r="4943" spans="12:12" x14ac:dyDescent="0.25">
      <c r="L4943"/>
    </row>
    <row r="4944" spans="12:12" x14ac:dyDescent="0.25">
      <c r="L4944"/>
    </row>
    <row r="4945" spans="12:12" x14ac:dyDescent="0.25">
      <c r="L4945"/>
    </row>
    <row r="4946" spans="12:12" x14ac:dyDescent="0.25">
      <c r="L4946"/>
    </row>
    <row r="4947" spans="12:12" x14ac:dyDescent="0.25">
      <c r="L4947"/>
    </row>
    <row r="4948" spans="12:12" x14ac:dyDescent="0.25">
      <c r="L4948"/>
    </row>
    <row r="4949" spans="12:12" x14ac:dyDescent="0.25">
      <c r="L4949"/>
    </row>
    <row r="4950" spans="12:12" x14ac:dyDescent="0.25">
      <c r="L4950"/>
    </row>
    <row r="4951" spans="12:12" x14ac:dyDescent="0.25">
      <c r="L4951"/>
    </row>
    <row r="4952" spans="12:12" x14ac:dyDescent="0.25">
      <c r="L4952"/>
    </row>
    <row r="4953" spans="12:12" x14ac:dyDescent="0.25">
      <c r="L4953"/>
    </row>
    <row r="4954" spans="12:12" x14ac:dyDescent="0.25">
      <c r="L4954"/>
    </row>
    <row r="4955" spans="12:12" x14ac:dyDescent="0.25">
      <c r="L4955"/>
    </row>
    <row r="4956" spans="12:12" x14ac:dyDescent="0.25">
      <c r="L4956"/>
    </row>
    <row r="4957" spans="12:12" x14ac:dyDescent="0.25">
      <c r="L4957"/>
    </row>
    <row r="4958" spans="12:12" x14ac:dyDescent="0.25">
      <c r="L4958"/>
    </row>
    <row r="4959" spans="12:12" x14ac:dyDescent="0.25">
      <c r="L4959"/>
    </row>
    <row r="4960" spans="12:12" x14ac:dyDescent="0.25">
      <c r="L4960"/>
    </row>
    <row r="4961" spans="12:12" x14ac:dyDescent="0.25">
      <c r="L4961"/>
    </row>
    <row r="4962" spans="12:12" x14ac:dyDescent="0.25">
      <c r="L4962"/>
    </row>
    <row r="4963" spans="12:12" x14ac:dyDescent="0.25">
      <c r="L4963"/>
    </row>
    <row r="4964" spans="12:12" x14ac:dyDescent="0.25">
      <c r="L4964"/>
    </row>
    <row r="4965" spans="12:12" x14ac:dyDescent="0.25">
      <c r="L4965"/>
    </row>
    <row r="4966" spans="12:12" x14ac:dyDescent="0.25">
      <c r="L4966"/>
    </row>
    <row r="4967" spans="12:12" x14ac:dyDescent="0.25">
      <c r="L4967"/>
    </row>
    <row r="4968" spans="12:12" x14ac:dyDescent="0.25">
      <c r="L4968"/>
    </row>
    <row r="4969" spans="12:12" x14ac:dyDescent="0.25">
      <c r="L4969"/>
    </row>
    <row r="4970" spans="12:12" x14ac:dyDescent="0.25">
      <c r="L4970"/>
    </row>
    <row r="4971" spans="12:12" x14ac:dyDescent="0.25">
      <c r="L4971"/>
    </row>
    <row r="4972" spans="12:12" x14ac:dyDescent="0.25">
      <c r="L4972"/>
    </row>
    <row r="4973" spans="12:12" x14ac:dyDescent="0.25">
      <c r="L4973"/>
    </row>
    <row r="4974" spans="12:12" x14ac:dyDescent="0.25">
      <c r="L4974"/>
    </row>
    <row r="4975" spans="12:12" x14ac:dyDescent="0.25">
      <c r="L4975"/>
    </row>
    <row r="4976" spans="12:12" x14ac:dyDescent="0.25">
      <c r="L4976"/>
    </row>
    <row r="4977" spans="12:12" x14ac:dyDescent="0.25">
      <c r="L4977"/>
    </row>
    <row r="4978" spans="12:12" x14ac:dyDescent="0.25">
      <c r="L4978"/>
    </row>
    <row r="4979" spans="12:12" x14ac:dyDescent="0.25">
      <c r="L4979"/>
    </row>
    <row r="4980" spans="12:12" x14ac:dyDescent="0.25">
      <c r="L4980"/>
    </row>
    <row r="4981" spans="12:12" x14ac:dyDescent="0.25">
      <c r="L4981"/>
    </row>
    <row r="4982" spans="12:12" x14ac:dyDescent="0.25">
      <c r="L4982"/>
    </row>
    <row r="4983" spans="12:12" x14ac:dyDescent="0.25">
      <c r="L4983"/>
    </row>
    <row r="4984" spans="12:12" x14ac:dyDescent="0.25">
      <c r="L4984"/>
    </row>
    <row r="4985" spans="12:12" x14ac:dyDescent="0.25">
      <c r="L4985"/>
    </row>
    <row r="4986" spans="12:12" x14ac:dyDescent="0.25">
      <c r="L4986"/>
    </row>
    <row r="4987" spans="12:12" x14ac:dyDescent="0.25">
      <c r="L4987"/>
    </row>
    <row r="4988" spans="12:12" x14ac:dyDescent="0.25">
      <c r="L4988"/>
    </row>
    <row r="4989" spans="12:12" x14ac:dyDescent="0.25">
      <c r="L4989"/>
    </row>
    <row r="4990" spans="12:12" x14ac:dyDescent="0.25">
      <c r="L4990"/>
    </row>
    <row r="4991" spans="12:12" x14ac:dyDescent="0.25">
      <c r="L4991"/>
    </row>
    <row r="4992" spans="12:12" x14ac:dyDescent="0.25">
      <c r="L4992"/>
    </row>
    <row r="4993" spans="12:12" x14ac:dyDescent="0.25">
      <c r="L4993"/>
    </row>
    <row r="4994" spans="12:12" x14ac:dyDescent="0.25">
      <c r="L4994"/>
    </row>
    <row r="4995" spans="12:12" x14ac:dyDescent="0.25">
      <c r="L4995"/>
    </row>
    <row r="4996" spans="12:12" x14ac:dyDescent="0.25">
      <c r="L4996"/>
    </row>
    <row r="4997" spans="12:12" x14ac:dyDescent="0.25">
      <c r="L4997"/>
    </row>
    <row r="4998" spans="12:12" x14ac:dyDescent="0.25">
      <c r="L4998"/>
    </row>
    <row r="4999" spans="12:12" x14ac:dyDescent="0.25">
      <c r="L4999"/>
    </row>
    <row r="5000" spans="12:12" x14ac:dyDescent="0.25">
      <c r="L5000"/>
    </row>
    <row r="5001" spans="12:12" x14ac:dyDescent="0.25">
      <c r="L5001"/>
    </row>
    <row r="5002" spans="12:12" x14ac:dyDescent="0.25">
      <c r="L5002"/>
    </row>
    <row r="5003" spans="12:12" x14ac:dyDescent="0.25">
      <c r="L5003"/>
    </row>
    <row r="5004" spans="12:12" x14ac:dyDescent="0.25">
      <c r="L5004"/>
    </row>
    <row r="5005" spans="12:12" x14ac:dyDescent="0.25">
      <c r="L5005"/>
    </row>
    <row r="5006" spans="12:12" x14ac:dyDescent="0.25">
      <c r="L5006"/>
    </row>
    <row r="5007" spans="12:12" x14ac:dyDescent="0.25">
      <c r="L5007"/>
    </row>
    <row r="5008" spans="12:12" x14ac:dyDescent="0.25">
      <c r="L5008"/>
    </row>
    <row r="5009" spans="12:12" x14ac:dyDescent="0.25">
      <c r="L5009"/>
    </row>
    <row r="5010" spans="12:12" x14ac:dyDescent="0.25">
      <c r="L5010"/>
    </row>
    <row r="5011" spans="12:12" x14ac:dyDescent="0.25">
      <c r="L5011"/>
    </row>
    <row r="5012" spans="12:12" x14ac:dyDescent="0.25">
      <c r="L5012"/>
    </row>
    <row r="5013" spans="12:12" x14ac:dyDescent="0.25">
      <c r="L5013"/>
    </row>
    <row r="5014" spans="12:12" x14ac:dyDescent="0.25">
      <c r="L5014"/>
    </row>
    <row r="5015" spans="12:12" x14ac:dyDescent="0.25">
      <c r="L5015"/>
    </row>
    <row r="5016" spans="12:12" x14ac:dyDescent="0.25">
      <c r="L5016"/>
    </row>
    <row r="5017" spans="12:12" x14ac:dyDescent="0.25">
      <c r="L5017"/>
    </row>
    <row r="5018" spans="12:12" x14ac:dyDescent="0.25">
      <c r="L5018"/>
    </row>
    <row r="5019" spans="12:12" x14ac:dyDescent="0.25">
      <c r="L5019"/>
    </row>
    <row r="5020" spans="12:12" x14ac:dyDescent="0.25">
      <c r="L5020"/>
    </row>
    <row r="5021" spans="12:12" x14ac:dyDescent="0.25">
      <c r="L5021"/>
    </row>
    <row r="5022" spans="12:12" x14ac:dyDescent="0.25">
      <c r="L5022"/>
    </row>
    <row r="5023" spans="12:12" x14ac:dyDescent="0.25">
      <c r="L5023"/>
    </row>
    <row r="5024" spans="12:12" x14ac:dyDescent="0.25">
      <c r="L5024"/>
    </row>
    <row r="5025" spans="12:12" x14ac:dyDescent="0.25">
      <c r="L5025"/>
    </row>
    <row r="5026" spans="12:12" x14ac:dyDescent="0.25">
      <c r="L5026"/>
    </row>
    <row r="5027" spans="12:12" x14ac:dyDescent="0.25">
      <c r="L5027"/>
    </row>
    <row r="5028" spans="12:12" x14ac:dyDescent="0.25">
      <c r="L5028"/>
    </row>
    <row r="5029" spans="12:12" x14ac:dyDescent="0.25">
      <c r="L5029"/>
    </row>
    <row r="5030" spans="12:12" x14ac:dyDescent="0.25">
      <c r="L5030"/>
    </row>
    <row r="5031" spans="12:12" x14ac:dyDescent="0.25">
      <c r="L5031"/>
    </row>
    <row r="5032" spans="12:12" x14ac:dyDescent="0.25">
      <c r="L5032"/>
    </row>
    <row r="5033" spans="12:12" x14ac:dyDescent="0.25">
      <c r="L5033"/>
    </row>
    <row r="5034" spans="12:12" x14ac:dyDescent="0.25">
      <c r="L5034"/>
    </row>
    <row r="5035" spans="12:12" x14ac:dyDescent="0.25">
      <c r="L5035"/>
    </row>
    <row r="5036" spans="12:12" x14ac:dyDescent="0.25">
      <c r="L5036"/>
    </row>
    <row r="5037" spans="12:12" x14ac:dyDescent="0.25">
      <c r="L5037"/>
    </row>
    <row r="5038" spans="12:12" x14ac:dyDescent="0.25">
      <c r="L5038"/>
    </row>
    <row r="5039" spans="12:12" x14ac:dyDescent="0.25">
      <c r="L5039"/>
    </row>
    <row r="5040" spans="12:12" x14ac:dyDescent="0.25">
      <c r="L5040"/>
    </row>
    <row r="5041" spans="12:12" x14ac:dyDescent="0.25">
      <c r="L5041"/>
    </row>
    <row r="5042" spans="12:12" x14ac:dyDescent="0.25">
      <c r="L5042"/>
    </row>
    <row r="5043" spans="12:12" x14ac:dyDescent="0.25">
      <c r="L5043"/>
    </row>
    <row r="5044" spans="12:12" x14ac:dyDescent="0.25">
      <c r="L5044"/>
    </row>
    <row r="5045" spans="12:12" x14ac:dyDescent="0.25">
      <c r="L5045"/>
    </row>
    <row r="5046" spans="12:12" x14ac:dyDescent="0.25">
      <c r="L5046"/>
    </row>
    <row r="5047" spans="12:12" x14ac:dyDescent="0.25">
      <c r="L5047"/>
    </row>
    <row r="5048" spans="12:12" x14ac:dyDescent="0.25">
      <c r="L5048"/>
    </row>
    <row r="5049" spans="12:12" x14ac:dyDescent="0.25">
      <c r="L5049"/>
    </row>
    <row r="5050" spans="12:12" x14ac:dyDescent="0.25">
      <c r="L5050"/>
    </row>
    <row r="5051" spans="12:12" x14ac:dyDescent="0.25">
      <c r="L5051"/>
    </row>
    <row r="5052" spans="12:12" x14ac:dyDescent="0.25">
      <c r="L5052"/>
    </row>
    <row r="5053" spans="12:12" x14ac:dyDescent="0.25">
      <c r="L5053"/>
    </row>
    <row r="5054" spans="12:12" x14ac:dyDescent="0.25">
      <c r="L5054"/>
    </row>
    <row r="5055" spans="12:12" x14ac:dyDescent="0.25">
      <c r="L5055"/>
    </row>
    <row r="5056" spans="12:12" x14ac:dyDescent="0.25">
      <c r="L5056"/>
    </row>
    <row r="5057" spans="12:12" x14ac:dyDescent="0.25">
      <c r="L5057"/>
    </row>
    <row r="5058" spans="12:12" x14ac:dyDescent="0.25">
      <c r="L5058"/>
    </row>
    <row r="5059" spans="12:12" x14ac:dyDescent="0.25">
      <c r="L5059"/>
    </row>
    <row r="5060" spans="12:12" x14ac:dyDescent="0.25">
      <c r="L5060"/>
    </row>
    <row r="5061" spans="12:12" x14ac:dyDescent="0.25">
      <c r="L5061"/>
    </row>
    <row r="5062" spans="12:12" x14ac:dyDescent="0.25">
      <c r="L5062"/>
    </row>
    <row r="5063" spans="12:12" x14ac:dyDescent="0.25">
      <c r="L5063"/>
    </row>
    <row r="5064" spans="12:12" x14ac:dyDescent="0.25">
      <c r="L5064"/>
    </row>
    <row r="5065" spans="12:12" x14ac:dyDescent="0.25">
      <c r="L5065"/>
    </row>
    <row r="5066" spans="12:12" x14ac:dyDescent="0.25">
      <c r="L5066"/>
    </row>
    <row r="5067" spans="12:12" x14ac:dyDescent="0.25">
      <c r="L5067"/>
    </row>
    <row r="5068" spans="12:12" x14ac:dyDescent="0.25">
      <c r="L5068"/>
    </row>
    <row r="5069" spans="12:12" x14ac:dyDescent="0.25">
      <c r="L5069"/>
    </row>
    <row r="5070" spans="12:12" x14ac:dyDescent="0.25">
      <c r="L5070"/>
    </row>
    <row r="5071" spans="12:12" x14ac:dyDescent="0.25">
      <c r="L5071"/>
    </row>
    <row r="5072" spans="12:12" x14ac:dyDescent="0.25">
      <c r="L5072"/>
    </row>
    <row r="5073" spans="12:12" x14ac:dyDescent="0.25">
      <c r="L5073"/>
    </row>
    <row r="5074" spans="12:12" x14ac:dyDescent="0.25">
      <c r="L5074"/>
    </row>
    <row r="5075" spans="12:12" x14ac:dyDescent="0.25">
      <c r="L5075"/>
    </row>
    <row r="5076" spans="12:12" x14ac:dyDescent="0.25">
      <c r="L5076"/>
    </row>
    <row r="5077" spans="12:12" x14ac:dyDescent="0.25">
      <c r="L5077"/>
    </row>
    <row r="5078" spans="12:12" x14ac:dyDescent="0.25">
      <c r="L5078"/>
    </row>
    <row r="5079" spans="12:12" x14ac:dyDescent="0.25">
      <c r="L5079"/>
    </row>
    <row r="5080" spans="12:12" x14ac:dyDescent="0.25">
      <c r="L5080"/>
    </row>
    <row r="5081" spans="12:12" x14ac:dyDescent="0.25">
      <c r="L5081"/>
    </row>
    <row r="5082" spans="12:12" x14ac:dyDescent="0.25">
      <c r="L5082"/>
    </row>
    <row r="5083" spans="12:12" x14ac:dyDescent="0.25">
      <c r="L5083"/>
    </row>
    <row r="5084" spans="12:12" x14ac:dyDescent="0.25">
      <c r="L5084"/>
    </row>
    <row r="5085" spans="12:12" x14ac:dyDescent="0.25">
      <c r="L5085"/>
    </row>
    <row r="5086" spans="12:12" x14ac:dyDescent="0.25">
      <c r="L5086"/>
    </row>
    <row r="5087" spans="12:12" x14ac:dyDescent="0.25">
      <c r="L5087"/>
    </row>
    <row r="5088" spans="12:12" x14ac:dyDescent="0.25">
      <c r="L5088"/>
    </row>
    <row r="5089" spans="12:12" x14ac:dyDescent="0.25">
      <c r="L5089"/>
    </row>
    <row r="5090" spans="12:12" x14ac:dyDescent="0.25">
      <c r="L5090"/>
    </row>
    <row r="5091" spans="12:12" x14ac:dyDescent="0.25">
      <c r="L5091"/>
    </row>
    <row r="5092" spans="12:12" x14ac:dyDescent="0.25">
      <c r="L5092"/>
    </row>
    <row r="5093" spans="12:12" x14ac:dyDescent="0.25">
      <c r="L5093"/>
    </row>
    <row r="5094" spans="12:12" x14ac:dyDescent="0.25">
      <c r="L5094"/>
    </row>
    <row r="5095" spans="12:12" x14ac:dyDescent="0.25">
      <c r="L5095"/>
    </row>
    <row r="5096" spans="12:12" x14ac:dyDescent="0.25">
      <c r="L5096"/>
    </row>
    <row r="5097" spans="12:12" x14ac:dyDescent="0.25">
      <c r="L5097"/>
    </row>
    <row r="5098" spans="12:12" x14ac:dyDescent="0.25">
      <c r="L5098"/>
    </row>
    <row r="5099" spans="12:12" x14ac:dyDescent="0.25">
      <c r="L5099"/>
    </row>
    <row r="5100" spans="12:12" x14ac:dyDescent="0.25">
      <c r="L5100"/>
    </row>
    <row r="5101" spans="12:12" x14ac:dyDescent="0.25">
      <c r="L5101"/>
    </row>
    <row r="5102" spans="12:12" x14ac:dyDescent="0.25">
      <c r="L5102"/>
    </row>
    <row r="5103" spans="12:12" x14ac:dyDescent="0.25">
      <c r="L5103"/>
    </row>
    <row r="5104" spans="12:12" x14ac:dyDescent="0.25">
      <c r="L5104"/>
    </row>
    <row r="5105" spans="12:12" x14ac:dyDescent="0.25">
      <c r="L5105"/>
    </row>
    <row r="5106" spans="12:12" x14ac:dyDescent="0.25">
      <c r="L5106"/>
    </row>
    <row r="5107" spans="12:12" x14ac:dyDescent="0.25">
      <c r="L5107"/>
    </row>
    <row r="5108" spans="12:12" x14ac:dyDescent="0.25">
      <c r="L5108"/>
    </row>
    <row r="5109" spans="12:12" x14ac:dyDescent="0.25">
      <c r="L5109"/>
    </row>
    <row r="5110" spans="12:12" x14ac:dyDescent="0.25">
      <c r="L5110"/>
    </row>
    <row r="5111" spans="12:12" x14ac:dyDescent="0.25">
      <c r="L5111"/>
    </row>
    <row r="5112" spans="12:12" x14ac:dyDescent="0.25">
      <c r="L5112"/>
    </row>
    <row r="5113" spans="12:12" x14ac:dyDescent="0.25">
      <c r="L5113"/>
    </row>
    <row r="5114" spans="12:12" x14ac:dyDescent="0.25">
      <c r="L5114"/>
    </row>
    <row r="5115" spans="12:12" x14ac:dyDescent="0.25">
      <c r="L5115"/>
    </row>
    <row r="5116" spans="12:12" x14ac:dyDescent="0.25">
      <c r="L5116"/>
    </row>
    <row r="5117" spans="12:12" x14ac:dyDescent="0.25">
      <c r="L5117"/>
    </row>
    <row r="5118" spans="12:12" x14ac:dyDescent="0.25">
      <c r="L5118"/>
    </row>
    <row r="5119" spans="12:12" x14ac:dyDescent="0.25">
      <c r="L5119"/>
    </row>
    <row r="5120" spans="12:12" x14ac:dyDescent="0.25">
      <c r="L5120"/>
    </row>
    <row r="5121" spans="12:12" x14ac:dyDescent="0.25">
      <c r="L5121"/>
    </row>
    <row r="5122" spans="12:12" x14ac:dyDescent="0.25">
      <c r="L5122"/>
    </row>
    <row r="5123" spans="12:12" x14ac:dyDescent="0.25">
      <c r="L5123"/>
    </row>
    <row r="5124" spans="12:12" x14ac:dyDescent="0.25">
      <c r="L5124"/>
    </row>
    <row r="5125" spans="12:12" x14ac:dyDescent="0.25">
      <c r="L5125"/>
    </row>
    <row r="5126" spans="12:12" x14ac:dyDescent="0.25">
      <c r="L5126"/>
    </row>
    <row r="5127" spans="12:12" x14ac:dyDescent="0.25">
      <c r="L5127"/>
    </row>
    <row r="5128" spans="12:12" x14ac:dyDescent="0.25">
      <c r="L5128"/>
    </row>
    <row r="5129" spans="12:12" x14ac:dyDescent="0.25">
      <c r="L5129"/>
    </row>
    <row r="5130" spans="12:12" x14ac:dyDescent="0.25">
      <c r="L5130"/>
    </row>
    <row r="5131" spans="12:12" x14ac:dyDescent="0.25">
      <c r="L5131"/>
    </row>
    <row r="5132" spans="12:12" x14ac:dyDescent="0.25">
      <c r="L5132"/>
    </row>
    <row r="5133" spans="12:12" x14ac:dyDescent="0.25">
      <c r="L5133"/>
    </row>
    <row r="5134" spans="12:12" x14ac:dyDescent="0.25">
      <c r="L5134"/>
    </row>
    <row r="5135" spans="12:12" x14ac:dyDescent="0.25">
      <c r="L5135"/>
    </row>
    <row r="5136" spans="12:12" x14ac:dyDescent="0.25">
      <c r="L5136"/>
    </row>
    <row r="5137" spans="12:12" x14ac:dyDescent="0.25">
      <c r="L5137"/>
    </row>
    <row r="5138" spans="12:12" x14ac:dyDescent="0.25">
      <c r="L5138"/>
    </row>
    <row r="5139" spans="12:12" x14ac:dyDescent="0.25">
      <c r="L5139"/>
    </row>
    <row r="5140" spans="12:12" x14ac:dyDescent="0.25">
      <c r="L5140"/>
    </row>
    <row r="5141" spans="12:12" x14ac:dyDescent="0.25">
      <c r="L5141"/>
    </row>
    <row r="5142" spans="12:12" x14ac:dyDescent="0.25">
      <c r="L5142"/>
    </row>
    <row r="5143" spans="12:12" x14ac:dyDescent="0.25">
      <c r="L5143"/>
    </row>
    <row r="5144" spans="12:12" x14ac:dyDescent="0.25">
      <c r="L5144"/>
    </row>
    <row r="5145" spans="12:12" x14ac:dyDescent="0.25">
      <c r="L5145"/>
    </row>
    <row r="5146" spans="12:12" x14ac:dyDescent="0.25">
      <c r="L5146"/>
    </row>
    <row r="5147" spans="12:12" x14ac:dyDescent="0.25">
      <c r="L5147"/>
    </row>
    <row r="5148" spans="12:12" x14ac:dyDescent="0.25">
      <c r="L5148"/>
    </row>
    <row r="5149" spans="12:12" x14ac:dyDescent="0.25">
      <c r="L5149"/>
    </row>
    <row r="5150" spans="12:12" x14ac:dyDescent="0.25">
      <c r="L5150"/>
    </row>
    <row r="5151" spans="12:12" x14ac:dyDescent="0.25">
      <c r="L5151"/>
    </row>
    <row r="5152" spans="12:12" x14ac:dyDescent="0.25">
      <c r="L5152"/>
    </row>
    <row r="5153" spans="12:12" x14ac:dyDescent="0.25">
      <c r="L5153"/>
    </row>
    <row r="5154" spans="12:12" x14ac:dyDescent="0.25">
      <c r="L5154"/>
    </row>
    <row r="5155" spans="12:12" x14ac:dyDescent="0.25">
      <c r="L5155"/>
    </row>
    <row r="5156" spans="12:12" x14ac:dyDescent="0.25">
      <c r="L5156"/>
    </row>
    <row r="5157" spans="12:12" x14ac:dyDescent="0.25">
      <c r="L5157"/>
    </row>
    <row r="5158" spans="12:12" x14ac:dyDescent="0.25">
      <c r="L5158"/>
    </row>
    <row r="5159" spans="12:12" x14ac:dyDescent="0.25">
      <c r="L5159"/>
    </row>
    <row r="5160" spans="12:12" x14ac:dyDescent="0.25">
      <c r="L5160"/>
    </row>
    <row r="5161" spans="12:12" x14ac:dyDescent="0.25">
      <c r="L5161"/>
    </row>
    <row r="5162" spans="12:12" x14ac:dyDescent="0.25">
      <c r="L5162"/>
    </row>
    <row r="5163" spans="12:12" x14ac:dyDescent="0.25">
      <c r="L5163"/>
    </row>
    <row r="5164" spans="12:12" x14ac:dyDescent="0.25">
      <c r="L5164"/>
    </row>
    <row r="5165" spans="12:12" x14ac:dyDescent="0.25">
      <c r="L5165"/>
    </row>
    <row r="5166" spans="12:12" x14ac:dyDescent="0.25">
      <c r="L5166"/>
    </row>
    <row r="5167" spans="12:12" x14ac:dyDescent="0.25">
      <c r="L5167"/>
    </row>
    <row r="5168" spans="12:12" x14ac:dyDescent="0.25">
      <c r="L5168"/>
    </row>
    <row r="5169" spans="12:12" x14ac:dyDescent="0.25">
      <c r="L5169"/>
    </row>
    <row r="5170" spans="12:12" x14ac:dyDescent="0.25">
      <c r="L5170"/>
    </row>
    <row r="5171" spans="12:12" x14ac:dyDescent="0.25">
      <c r="L5171"/>
    </row>
    <row r="5172" spans="12:12" x14ac:dyDescent="0.25">
      <c r="L5172"/>
    </row>
    <row r="5173" spans="12:12" x14ac:dyDescent="0.25">
      <c r="L5173"/>
    </row>
    <row r="5174" spans="12:12" x14ac:dyDescent="0.25">
      <c r="L5174"/>
    </row>
    <row r="5175" spans="12:12" x14ac:dyDescent="0.25">
      <c r="L5175"/>
    </row>
    <row r="5176" spans="12:12" x14ac:dyDescent="0.25">
      <c r="L5176"/>
    </row>
    <row r="5177" spans="12:12" x14ac:dyDescent="0.25">
      <c r="L5177"/>
    </row>
    <row r="5178" spans="12:12" x14ac:dyDescent="0.25">
      <c r="L5178"/>
    </row>
    <row r="5179" spans="12:12" x14ac:dyDescent="0.25">
      <c r="L5179"/>
    </row>
    <row r="5180" spans="12:12" x14ac:dyDescent="0.25">
      <c r="L5180"/>
    </row>
    <row r="5181" spans="12:12" x14ac:dyDescent="0.25">
      <c r="L5181"/>
    </row>
    <row r="5182" spans="12:12" x14ac:dyDescent="0.25">
      <c r="L5182"/>
    </row>
    <row r="5183" spans="12:12" x14ac:dyDescent="0.25">
      <c r="L5183"/>
    </row>
    <row r="5184" spans="12:12" x14ac:dyDescent="0.25">
      <c r="L5184"/>
    </row>
    <row r="5185" spans="12:12" x14ac:dyDescent="0.25">
      <c r="L5185"/>
    </row>
    <row r="5186" spans="12:12" x14ac:dyDescent="0.25">
      <c r="L5186"/>
    </row>
    <row r="5187" spans="12:12" x14ac:dyDescent="0.25">
      <c r="L5187"/>
    </row>
    <row r="5188" spans="12:12" x14ac:dyDescent="0.25">
      <c r="L5188"/>
    </row>
    <row r="5189" spans="12:12" x14ac:dyDescent="0.25">
      <c r="L5189"/>
    </row>
    <row r="5190" spans="12:12" x14ac:dyDescent="0.25">
      <c r="L5190"/>
    </row>
    <row r="5191" spans="12:12" x14ac:dyDescent="0.25">
      <c r="L5191"/>
    </row>
    <row r="5192" spans="12:12" x14ac:dyDescent="0.25">
      <c r="L5192"/>
    </row>
    <row r="5193" spans="12:12" x14ac:dyDescent="0.25">
      <c r="L5193"/>
    </row>
    <row r="5194" spans="12:12" x14ac:dyDescent="0.25">
      <c r="L5194"/>
    </row>
    <row r="5195" spans="12:12" x14ac:dyDescent="0.25">
      <c r="L5195"/>
    </row>
    <row r="5196" spans="12:12" x14ac:dyDescent="0.25">
      <c r="L5196"/>
    </row>
    <row r="5197" spans="12:12" x14ac:dyDescent="0.25">
      <c r="L5197"/>
    </row>
    <row r="5198" spans="12:12" x14ac:dyDescent="0.25">
      <c r="L5198"/>
    </row>
    <row r="5199" spans="12:12" x14ac:dyDescent="0.25">
      <c r="L5199"/>
    </row>
    <row r="5200" spans="12:12" x14ac:dyDescent="0.25">
      <c r="L5200"/>
    </row>
    <row r="5201" spans="12:12" x14ac:dyDescent="0.25">
      <c r="L5201"/>
    </row>
    <row r="5202" spans="12:12" x14ac:dyDescent="0.25">
      <c r="L5202"/>
    </row>
    <row r="5203" spans="12:12" x14ac:dyDescent="0.25">
      <c r="L5203"/>
    </row>
    <row r="5204" spans="12:12" x14ac:dyDescent="0.25">
      <c r="L5204"/>
    </row>
    <row r="5205" spans="12:12" x14ac:dyDescent="0.25">
      <c r="L5205"/>
    </row>
    <row r="5206" spans="12:12" x14ac:dyDescent="0.25">
      <c r="L5206"/>
    </row>
    <row r="5207" spans="12:12" x14ac:dyDescent="0.25">
      <c r="L5207"/>
    </row>
    <row r="5208" spans="12:12" x14ac:dyDescent="0.25">
      <c r="L5208"/>
    </row>
    <row r="5209" spans="12:12" x14ac:dyDescent="0.25">
      <c r="L5209"/>
    </row>
    <row r="5210" spans="12:12" x14ac:dyDescent="0.25">
      <c r="L5210"/>
    </row>
    <row r="5211" spans="12:12" x14ac:dyDescent="0.25">
      <c r="L5211"/>
    </row>
    <row r="5212" spans="12:12" x14ac:dyDescent="0.25">
      <c r="L5212"/>
    </row>
    <row r="5213" spans="12:12" x14ac:dyDescent="0.25">
      <c r="L5213"/>
    </row>
    <row r="5214" spans="12:12" x14ac:dyDescent="0.25">
      <c r="L5214"/>
    </row>
    <row r="5215" spans="12:12" x14ac:dyDescent="0.25">
      <c r="L5215"/>
    </row>
    <row r="5216" spans="12:12" x14ac:dyDescent="0.25">
      <c r="L5216"/>
    </row>
    <row r="5217" spans="12:12" x14ac:dyDescent="0.25">
      <c r="L5217"/>
    </row>
    <row r="5218" spans="12:12" x14ac:dyDescent="0.25">
      <c r="L5218"/>
    </row>
    <row r="5219" spans="12:12" x14ac:dyDescent="0.25">
      <c r="L5219"/>
    </row>
    <row r="5220" spans="12:12" x14ac:dyDescent="0.25">
      <c r="L5220"/>
    </row>
    <row r="5221" spans="12:12" x14ac:dyDescent="0.25">
      <c r="L5221"/>
    </row>
    <row r="5222" spans="12:12" x14ac:dyDescent="0.25">
      <c r="L5222"/>
    </row>
    <row r="5223" spans="12:12" x14ac:dyDescent="0.25">
      <c r="L5223"/>
    </row>
    <row r="5224" spans="12:12" x14ac:dyDescent="0.25">
      <c r="L5224"/>
    </row>
    <row r="5225" spans="12:12" x14ac:dyDescent="0.25">
      <c r="L5225"/>
    </row>
    <row r="5226" spans="12:12" x14ac:dyDescent="0.25">
      <c r="L5226"/>
    </row>
    <row r="5227" spans="12:12" x14ac:dyDescent="0.25">
      <c r="L5227"/>
    </row>
    <row r="5228" spans="12:12" x14ac:dyDescent="0.25">
      <c r="L5228"/>
    </row>
    <row r="5229" spans="12:12" x14ac:dyDescent="0.25">
      <c r="L5229"/>
    </row>
    <row r="5230" spans="12:12" x14ac:dyDescent="0.25">
      <c r="L5230"/>
    </row>
    <row r="5231" spans="12:12" x14ac:dyDescent="0.25">
      <c r="L5231"/>
    </row>
    <row r="5232" spans="12:12" x14ac:dyDescent="0.25">
      <c r="L5232"/>
    </row>
    <row r="5233" spans="12:12" x14ac:dyDescent="0.25">
      <c r="L5233"/>
    </row>
    <row r="5234" spans="12:12" x14ac:dyDescent="0.25">
      <c r="L5234"/>
    </row>
    <row r="5235" spans="12:12" x14ac:dyDescent="0.25">
      <c r="L5235"/>
    </row>
    <row r="5236" spans="12:12" x14ac:dyDescent="0.25">
      <c r="L5236"/>
    </row>
    <row r="5237" spans="12:12" x14ac:dyDescent="0.25">
      <c r="L5237"/>
    </row>
    <row r="5238" spans="12:12" x14ac:dyDescent="0.25">
      <c r="L5238"/>
    </row>
    <row r="5239" spans="12:12" x14ac:dyDescent="0.25">
      <c r="L5239"/>
    </row>
    <row r="5240" spans="12:12" x14ac:dyDescent="0.25">
      <c r="L5240"/>
    </row>
    <row r="5241" spans="12:12" x14ac:dyDescent="0.25">
      <c r="L5241"/>
    </row>
    <row r="5242" spans="12:12" x14ac:dyDescent="0.25">
      <c r="L5242"/>
    </row>
    <row r="5243" spans="12:12" x14ac:dyDescent="0.25">
      <c r="L5243"/>
    </row>
    <row r="5244" spans="12:12" x14ac:dyDescent="0.25">
      <c r="L5244"/>
    </row>
    <row r="5245" spans="12:12" x14ac:dyDescent="0.25">
      <c r="L5245"/>
    </row>
    <row r="5246" spans="12:12" x14ac:dyDescent="0.25">
      <c r="L5246"/>
    </row>
    <row r="5247" spans="12:12" x14ac:dyDescent="0.25">
      <c r="L5247"/>
    </row>
    <row r="5248" spans="12:12" x14ac:dyDescent="0.25">
      <c r="L5248"/>
    </row>
    <row r="5249" spans="12:12" x14ac:dyDescent="0.25">
      <c r="L5249"/>
    </row>
    <row r="5250" spans="12:12" x14ac:dyDescent="0.25">
      <c r="L5250"/>
    </row>
    <row r="5251" spans="12:12" x14ac:dyDescent="0.25">
      <c r="L5251"/>
    </row>
    <row r="5252" spans="12:12" x14ac:dyDescent="0.25">
      <c r="L5252"/>
    </row>
    <row r="5253" spans="12:12" x14ac:dyDescent="0.25">
      <c r="L5253"/>
    </row>
    <row r="5254" spans="12:12" x14ac:dyDescent="0.25">
      <c r="L5254"/>
    </row>
    <row r="5255" spans="12:12" x14ac:dyDescent="0.25">
      <c r="L5255"/>
    </row>
    <row r="5256" spans="12:12" x14ac:dyDescent="0.25">
      <c r="L5256"/>
    </row>
    <row r="5257" spans="12:12" x14ac:dyDescent="0.25">
      <c r="L5257"/>
    </row>
    <row r="5258" spans="12:12" x14ac:dyDescent="0.25">
      <c r="L5258"/>
    </row>
    <row r="5259" spans="12:12" x14ac:dyDescent="0.25">
      <c r="L5259"/>
    </row>
    <row r="5260" spans="12:12" x14ac:dyDescent="0.25">
      <c r="L5260"/>
    </row>
    <row r="5261" spans="12:12" x14ac:dyDescent="0.25">
      <c r="L5261"/>
    </row>
    <row r="5262" spans="12:12" x14ac:dyDescent="0.25">
      <c r="L5262"/>
    </row>
    <row r="5263" spans="12:12" x14ac:dyDescent="0.25">
      <c r="L5263"/>
    </row>
    <row r="5264" spans="12:12" x14ac:dyDescent="0.25">
      <c r="L5264"/>
    </row>
    <row r="5265" spans="12:12" x14ac:dyDescent="0.25">
      <c r="L5265"/>
    </row>
    <row r="5266" spans="12:12" x14ac:dyDescent="0.25">
      <c r="L5266"/>
    </row>
    <row r="5267" spans="12:12" x14ac:dyDescent="0.25">
      <c r="L5267"/>
    </row>
    <row r="5268" spans="12:12" x14ac:dyDescent="0.25">
      <c r="L5268"/>
    </row>
    <row r="5269" spans="12:12" x14ac:dyDescent="0.25">
      <c r="L5269"/>
    </row>
    <row r="5270" spans="12:12" x14ac:dyDescent="0.25">
      <c r="L5270"/>
    </row>
    <row r="5271" spans="12:12" x14ac:dyDescent="0.25">
      <c r="L5271"/>
    </row>
    <row r="5272" spans="12:12" x14ac:dyDescent="0.25">
      <c r="L5272"/>
    </row>
    <row r="5273" spans="12:12" x14ac:dyDescent="0.25">
      <c r="L5273"/>
    </row>
    <row r="5274" spans="12:12" x14ac:dyDescent="0.25">
      <c r="L5274"/>
    </row>
    <row r="5275" spans="12:12" x14ac:dyDescent="0.25">
      <c r="L5275"/>
    </row>
    <row r="5276" spans="12:12" x14ac:dyDescent="0.25">
      <c r="L5276"/>
    </row>
    <row r="5277" spans="12:12" x14ac:dyDescent="0.25">
      <c r="L5277"/>
    </row>
    <row r="5278" spans="12:12" x14ac:dyDescent="0.25">
      <c r="L5278"/>
    </row>
    <row r="5279" spans="12:12" x14ac:dyDescent="0.25">
      <c r="L5279"/>
    </row>
    <row r="5280" spans="12:12" x14ac:dyDescent="0.25">
      <c r="L5280"/>
    </row>
    <row r="5281" spans="12:12" x14ac:dyDescent="0.25">
      <c r="L5281"/>
    </row>
    <row r="5282" spans="12:12" x14ac:dyDescent="0.25">
      <c r="L5282"/>
    </row>
    <row r="5283" spans="12:12" x14ac:dyDescent="0.25">
      <c r="L5283"/>
    </row>
    <row r="5284" spans="12:12" x14ac:dyDescent="0.25">
      <c r="L5284"/>
    </row>
    <row r="5285" spans="12:12" x14ac:dyDescent="0.25">
      <c r="L5285"/>
    </row>
    <row r="5286" spans="12:12" x14ac:dyDescent="0.25">
      <c r="L5286"/>
    </row>
    <row r="5287" spans="12:12" x14ac:dyDescent="0.25">
      <c r="L5287"/>
    </row>
    <row r="5288" spans="12:12" x14ac:dyDescent="0.25">
      <c r="L5288"/>
    </row>
    <row r="5289" spans="12:12" x14ac:dyDescent="0.25">
      <c r="L5289"/>
    </row>
    <row r="5290" spans="12:12" x14ac:dyDescent="0.25">
      <c r="L5290"/>
    </row>
    <row r="5291" spans="12:12" x14ac:dyDescent="0.25">
      <c r="L5291"/>
    </row>
    <row r="5292" spans="12:12" x14ac:dyDescent="0.25">
      <c r="L5292"/>
    </row>
    <row r="5293" spans="12:12" x14ac:dyDescent="0.25">
      <c r="L5293"/>
    </row>
    <row r="5294" spans="12:12" x14ac:dyDescent="0.25">
      <c r="L5294"/>
    </row>
    <row r="5295" spans="12:12" x14ac:dyDescent="0.25">
      <c r="L5295"/>
    </row>
    <row r="5296" spans="12:12" x14ac:dyDescent="0.25">
      <c r="L5296"/>
    </row>
    <row r="5297" spans="12:12" x14ac:dyDescent="0.25">
      <c r="L5297"/>
    </row>
    <row r="5298" spans="12:12" x14ac:dyDescent="0.25">
      <c r="L5298"/>
    </row>
    <row r="5299" spans="12:12" x14ac:dyDescent="0.25">
      <c r="L5299"/>
    </row>
    <row r="5300" spans="12:12" x14ac:dyDescent="0.25">
      <c r="L5300"/>
    </row>
    <row r="5301" spans="12:12" x14ac:dyDescent="0.25">
      <c r="L5301"/>
    </row>
    <row r="5302" spans="12:12" x14ac:dyDescent="0.25">
      <c r="L5302"/>
    </row>
    <row r="5303" spans="12:12" x14ac:dyDescent="0.25">
      <c r="L5303"/>
    </row>
    <row r="5304" spans="12:12" x14ac:dyDescent="0.25">
      <c r="L5304"/>
    </row>
    <row r="5305" spans="12:12" x14ac:dyDescent="0.25">
      <c r="L5305"/>
    </row>
    <row r="5306" spans="12:12" x14ac:dyDescent="0.25">
      <c r="L5306"/>
    </row>
    <row r="5307" spans="12:12" x14ac:dyDescent="0.25">
      <c r="L5307"/>
    </row>
    <row r="5308" spans="12:12" x14ac:dyDescent="0.25">
      <c r="L5308"/>
    </row>
    <row r="5309" spans="12:12" x14ac:dyDescent="0.25">
      <c r="L5309"/>
    </row>
    <row r="5310" spans="12:12" x14ac:dyDescent="0.25">
      <c r="L5310"/>
    </row>
    <row r="5311" spans="12:12" x14ac:dyDescent="0.25">
      <c r="L5311"/>
    </row>
    <row r="5312" spans="12:12" x14ac:dyDescent="0.25">
      <c r="L5312"/>
    </row>
    <row r="5313" spans="12:12" x14ac:dyDescent="0.25">
      <c r="L5313"/>
    </row>
    <row r="5314" spans="12:12" x14ac:dyDescent="0.25">
      <c r="L5314"/>
    </row>
    <row r="5315" spans="12:12" x14ac:dyDescent="0.25">
      <c r="L5315"/>
    </row>
    <row r="5316" spans="12:12" x14ac:dyDescent="0.25">
      <c r="L5316"/>
    </row>
    <row r="5317" spans="12:12" x14ac:dyDescent="0.25">
      <c r="L5317"/>
    </row>
    <row r="5318" spans="12:12" x14ac:dyDescent="0.25">
      <c r="L5318"/>
    </row>
    <row r="5319" spans="12:12" x14ac:dyDescent="0.25">
      <c r="L5319"/>
    </row>
    <row r="5320" spans="12:12" x14ac:dyDescent="0.25">
      <c r="L5320"/>
    </row>
    <row r="5321" spans="12:12" x14ac:dyDescent="0.25">
      <c r="L5321"/>
    </row>
    <row r="5322" spans="12:12" x14ac:dyDescent="0.25">
      <c r="L5322"/>
    </row>
    <row r="5323" spans="12:12" x14ac:dyDescent="0.25">
      <c r="L5323"/>
    </row>
    <row r="5324" spans="12:12" x14ac:dyDescent="0.25">
      <c r="L5324"/>
    </row>
    <row r="5325" spans="12:12" x14ac:dyDescent="0.25">
      <c r="L5325"/>
    </row>
    <row r="5326" spans="12:12" x14ac:dyDescent="0.25">
      <c r="L5326"/>
    </row>
    <row r="5327" spans="12:12" x14ac:dyDescent="0.25">
      <c r="L5327"/>
    </row>
    <row r="5328" spans="12:12" x14ac:dyDescent="0.25">
      <c r="L5328"/>
    </row>
    <row r="5329" spans="12:12" x14ac:dyDescent="0.25">
      <c r="L5329"/>
    </row>
    <row r="5330" spans="12:12" x14ac:dyDescent="0.25">
      <c r="L5330"/>
    </row>
    <row r="5331" spans="12:12" x14ac:dyDescent="0.25">
      <c r="L5331"/>
    </row>
    <row r="5332" spans="12:12" x14ac:dyDescent="0.25">
      <c r="L5332"/>
    </row>
    <row r="5333" spans="12:12" x14ac:dyDescent="0.25">
      <c r="L5333"/>
    </row>
    <row r="5334" spans="12:12" x14ac:dyDescent="0.25">
      <c r="L5334"/>
    </row>
    <row r="5335" spans="12:12" x14ac:dyDescent="0.25">
      <c r="L5335"/>
    </row>
    <row r="5336" spans="12:12" x14ac:dyDescent="0.25">
      <c r="L5336"/>
    </row>
    <row r="5337" spans="12:12" x14ac:dyDescent="0.25">
      <c r="L5337"/>
    </row>
    <row r="5338" spans="12:12" x14ac:dyDescent="0.25">
      <c r="L5338"/>
    </row>
    <row r="5339" spans="12:12" x14ac:dyDescent="0.25">
      <c r="L5339"/>
    </row>
    <row r="5340" spans="12:12" x14ac:dyDescent="0.25">
      <c r="L5340"/>
    </row>
    <row r="5341" spans="12:12" x14ac:dyDescent="0.25">
      <c r="L5341"/>
    </row>
    <row r="5342" spans="12:12" x14ac:dyDescent="0.25">
      <c r="L5342"/>
    </row>
    <row r="5343" spans="12:12" x14ac:dyDescent="0.25">
      <c r="L5343"/>
    </row>
    <row r="5344" spans="12:12" x14ac:dyDescent="0.25">
      <c r="L5344"/>
    </row>
    <row r="5345" spans="12:12" x14ac:dyDescent="0.25">
      <c r="L5345"/>
    </row>
    <row r="5346" spans="12:12" x14ac:dyDescent="0.25">
      <c r="L5346"/>
    </row>
    <row r="5347" spans="12:12" x14ac:dyDescent="0.25">
      <c r="L5347"/>
    </row>
    <row r="5348" spans="12:12" x14ac:dyDescent="0.25">
      <c r="L5348"/>
    </row>
    <row r="5349" spans="12:12" x14ac:dyDescent="0.25">
      <c r="L5349"/>
    </row>
    <row r="5350" spans="12:12" x14ac:dyDescent="0.25">
      <c r="L5350"/>
    </row>
    <row r="5351" spans="12:12" x14ac:dyDescent="0.25">
      <c r="L5351"/>
    </row>
    <row r="5352" spans="12:12" x14ac:dyDescent="0.25">
      <c r="L5352"/>
    </row>
    <row r="5353" spans="12:12" x14ac:dyDescent="0.25">
      <c r="L5353"/>
    </row>
    <row r="5354" spans="12:12" x14ac:dyDescent="0.25">
      <c r="L5354"/>
    </row>
    <row r="5355" spans="12:12" x14ac:dyDescent="0.25">
      <c r="L5355"/>
    </row>
    <row r="5356" spans="12:12" x14ac:dyDescent="0.25">
      <c r="L5356"/>
    </row>
    <row r="5357" spans="12:12" x14ac:dyDescent="0.25">
      <c r="L5357"/>
    </row>
    <row r="5358" spans="12:12" x14ac:dyDescent="0.25">
      <c r="L5358"/>
    </row>
    <row r="5359" spans="12:12" x14ac:dyDescent="0.25">
      <c r="L5359"/>
    </row>
    <row r="5360" spans="12:12" x14ac:dyDescent="0.25">
      <c r="L5360"/>
    </row>
    <row r="5361" spans="12:12" x14ac:dyDescent="0.25">
      <c r="L5361"/>
    </row>
    <row r="5362" spans="12:12" x14ac:dyDescent="0.25">
      <c r="L5362"/>
    </row>
    <row r="5363" spans="12:12" x14ac:dyDescent="0.25">
      <c r="L5363"/>
    </row>
    <row r="5364" spans="12:12" x14ac:dyDescent="0.25">
      <c r="L5364"/>
    </row>
    <row r="5365" spans="12:12" x14ac:dyDescent="0.25">
      <c r="L5365"/>
    </row>
    <row r="5366" spans="12:12" x14ac:dyDescent="0.25">
      <c r="L5366"/>
    </row>
    <row r="5367" spans="12:12" x14ac:dyDescent="0.25">
      <c r="L5367"/>
    </row>
    <row r="5368" spans="12:12" x14ac:dyDescent="0.25">
      <c r="L5368"/>
    </row>
    <row r="5369" spans="12:12" x14ac:dyDescent="0.25">
      <c r="L5369"/>
    </row>
    <row r="5370" spans="12:12" x14ac:dyDescent="0.25">
      <c r="L5370"/>
    </row>
    <row r="5371" spans="12:12" x14ac:dyDescent="0.25">
      <c r="L5371"/>
    </row>
    <row r="5372" spans="12:12" x14ac:dyDescent="0.25">
      <c r="L5372"/>
    </row>
    <row r="5373" spans="12:12" x14ac:dyDescent="0.25">
      <c r="L5373"/>
    </row>
    <row r="5374" spans="12:12" x14ac:dyDescent="0.25">
      <c r="L5374"/>
    </row>
    <row r="5375" spans="12:12" x14ac:dyDescent="0.25">
      <c r="L5375"/>
    </row>
    <row r="5376" spans="12:12" x14ac:dyDescent="0.25">
      <c r="L5376"/>
    </row>
    <row r="5377" spans="12:12" x14ac:dyDescent="0.25">
      <c r="L5377"/>
    </row>
    <row r="5378" spans="12:12" x14ac:dyDescent="0.25">
      <c r="L5378"/>
    </row>
    <row r="5379" spans="12:12" x14ac:dyDescent="0.25">
      <c r="L5379"/>
    </row>
    <row r="5380" spans="12:12" x14ac:dyDescent="0.25">
      <c r="L5380"/>
    </row>
    <row r="5381" spans="12:12" x14ac:dyDescent="0.25">
      <c r="L5381"/>
    </row>
    <row r="5382" spans="12:12" x14ac:dyDescent="0.25">
      <c r="L5382"/>
    </row>
    <row r="5383" spans="12:12" x14ac:dyDescent="0.25">
      <c r="L5383"/>
    </row>
    <row r="5384" spans="12:12" x14ac:dyDescent="0.25">
      <c r="L5384"/>
    </row>
    <row r="5385" spans="12:12" x14ac:dyDescent="0.25">
      <c r="L5385"/>
    </row>
    <row r="5386" spans="12:12" x14ac:dyDescent="0.25">
      <c r="L5386"/>
    </row>
    <row r="5387" spans="12:12" x14ac:dyDescent="0.25">
      <c r="L5387"/>
    </row>
    <row r="5388" spans="12:12" x14ac:dyDescent="0.25">
      <c r="L5388"/>
    </row>
    <row r="5389" spans="12:12" x14ac:dyDescent="0.25">
      <c r="L5389"/>
    </row>
    <row r="5390" spans="12:12" x14ac:dyDescent="0.25">
      <c r="L5390"/>
    </row>
    <row r="5391" spans="12:12" x14ac:dyDescent="0.25">
      <c r="L5391"/>
    </row>
    <row r="5392" spans="12:12" x14ac:dyDescent="0.25">
      <c r="L5392"/>
    </row>
    <row r="5393" spans="12:12" x14ac:dyDescent="0.25">
      <c r="L5393"/>
    </row>
    <row r="5394" spans="12:12" x14ac:dyDescent="0.25">
      <c r="L5394"/>
    </row>
    <row r="5395" spans="12:12" x14ac:dyDescent="0.25">
      <c r="L5395"/>
    </row>
    <row r="5396" spans="12:12" x14ac:dyDescent="0.25">
      <c r="L5396"/>
    </row>
    <row r="5397" spans="12:12" x14ac:dyDescent="0.25">
      <c r="L5397"/>
    </row>
    <row r="5398" spans="12:12" x14ac:dyDescent="0.25">
      <c r="L5398"/>
    </row>
    <row r="5399" spans="12:12" x14ac:dyDescent="0.25">
      <c r="L5399"/>
    </row>
    <row r="5400" spans="12:12" x14ac:dyDescent="0.25">
      <c r="L5400"/>
    </row>
    <row r="5401" spans="12:12" x14ac:dyDescent="0.25">
      <c r="L5401"/>
    </row>
    <row r="5402" spans="12:12" x14ac:dyDescent="0.25">
      <c r="L5402"/>
    </row>
    <row r="5403" spans="12:12" x14ac:dyDescent="0.25">
      <c r="L5403"/>
    </row>
    <row r="5404" spans="12:12" x14ac:dyDescent="0.25">
      <c r="L5404"/>
    </row>
    <row r="5405" spans="12:12" x14ac:dyDescent="0.25">
      <c r="L5405"/>
    </row>
    <row r="5406" spans="12:12" x14ac:dyDescent="0.25">
      <c r="L5406"/>
    </row>
    <row r="5407" spans="12:12" x14ac:dyDescent="0.25">
      <c r="L5407"/>
    </row>
    <row r="5408" spans="12:12" x14ac:dyDescent="0.25">
      <c r="L5408"/>
    </row>
    <row r="5409" spans="12:12" x14ac:dyDescent="0.25">
      <c r="L5409"/>
    </row>
    <row r="5410" spans="12:12" x14ac:dyDescent="0.25">
      <c r="L5410"/>
    </row>
    <row r="5411" spans="12:12" x14ac:dyDescent="0.25">
      <c r="L5411"/>
    </row>
    <row r="5412" spans="12:12" x14ac:dyDescent="0.25">
      <c r="L5412"/>
    </row>
    <row r="5413" spans="12:12" x14ac:dyDescent="0.25">
      <c r="L5413"/>
    </row>
    <row r="5414" spans="12:12" x14ac:dyDescent="0.25">
      <c r="L5414"/>
    </row>
    <row r="5415" spans="12:12" x14ac:dyDescent="0.25">
      <c r="L5415"/>
    </row>
    <row r="5416" spans="12:12" x14ac:dyDescent="0.25">
      <c r="L5416"/>
    </row>
    <row r="5417" spans="12:12" x14ac:dyDescent="0.25">
      <c r="L5417"/>
    </row>
    <row r="5418" spans="12:12" x14ac:dyDescent="0.25">
      <c r="L5418"/>
    </row>
    <row r="5419" spans="12:12" x14ac:dyDescent="0.25">
      <c r="L5419"/>
    </row>
    <row r="5420" spans="12:12" x14ac:dyDescent="0.25">
      <c r="L5420"/>
    </row>
    <row r="5421" spans="12:12" x14ac:dyDescent="0.25">
      <c r="L5421"/>
    </row>
    <row r="5422" spans="12:12" x14ac:dyDescent="0.25">
      <c r="L5422"/>
    </row>
    <row r="5423" spans="12:12" x14ac:dyDescent="0.25">
      <c r="L5423"/>
    </row>
    <row r="5424" spans="12:12" x14ac:dyDescent="0.25">
      <c r="L5424"/>
    </row>
    <row r="5425" spans="12:12" x14ac:dyDescent="0.25">
      <c r="L5425"/>
    </row>
    <row r="5426" spans="12:12" x14ac:dyDescent="0.25">
      <c r="L5426"/>
    </row>
    <row r="5427" spans="12:12" x14ac:dyDescent="0.25">
      <c r="L5427"/>
    </row>
    <row r="5428" spans="12:12" x14ac:dyDescent="0.25">
      <c r="L5428"/>
    </row>
    <row r="5429" spans="12:12" x14ac:dyDescent="0.25">
      <c r="L5429"/>
    </row>
    <row r="5430" spans="12:12" x14ac:dyDescent="0.25">
      <c r="L5430"/>
    </row>
    <row r="5431" spans="12:12" x14ac:dyDescent="0.25">
      <c r="L5431"/>
    </row>
    <row r="5432" spans="12:12" x14ac:dyDescent="0.25">
      <c r="L5432"/>
    </row>
    <row r="5433" spans="12:12" x14ac:dyDescent="0.25">
      <c r="L5433"/>
    </row>
    <row r="5434" spans="12:12" x14ac:dyDescent="0.25">
      <c r="L5434"/>
    </row>
    <row r="5435" spans="12:12" x14ac:dyDescent="0.25">
      <c r="L5435"/>
    </row>
    <row r="5436" spans="12:12" x14ac:dyDescent="0.25">
      <c r="L5436"/>
    </row>
    <row r="5437" spans="12:12" x14ac:dyDescent="0.25">
      <c r="L5437"/>
    </row>
    <row r="5438" spans="12:12" x14ac:dyDescent="0.25">
      <c r="L5438"/>
    </row>
    <row r="5439" spans="12:12" x14ac:dyDescent="0.25">
      <c r="L5439"/>
    </row>
    <row r="5440" spans="12:12" x14ac:dyDescent="0.25">
      <c r="L5440"/>
    </row>
    <row r="5441" spans="12:12" x14ac:dyDescent="0.25">
      <c r="L5441"/>
    </row>
    <row r="5442" spans="12:12" x14ac:dyDescent="0.25">
      <c r="L5442"/>
    </row>
    <row r="5443" spans="12:12" x14ac:dyDescent="0.25">
      <c r="L5443"/>
    </row>
    <row r="5444" spans="12:12" x14ac:dyDescent="0.25">
      <c r="L5444"/>
    </row>
    <row r="5445" spans="12:12" x14ac:dyDescent="0.25">
      <c r="L5445"/>
    </row>
    <row r="5446" spans="12:12" x14ac:dyDescent="0.25">
      <c r="L5446"/>
    </row>
    <row r="5447" spans="12:12" x14ac:dyDescent="0.25">
      <c r="L5447"/>
    </row>
    <row r="5448" spans="12:12" x14ac:dyDescent="0.25">
      <c r="L5448"/>
    </row>
    <row r="5449" spans="12:12" x14ac:dyDescent="0.25">
      <c r="L5449"/>
    </row>
    <row r="5450" spans="12:12" x14ac:dyDescent="0.25">
      <c r="L5450"/>
    </row>
    <row r="5451" spans="12:12" x14ac:dyDescent="0.25">
      <c r="L5451"/>
    </row>
    <row r="5452" spans="12:12" x14ac:dyDescent="0.25">
      <c r="L5452"/>
    </row>
    <row r="5453" spans="12:12" x14ac:dyDescent="0.25">
      <c r="L5453"/>
    </row>
    <row r="5454" spans="12:12" x14ac:dyDescent="0.25">
      <c r="L5454"/>
    </row>
    <row r="5455" spans="12:12" x14ac:dyDescent="0.25">
      <c r="L5455"/>
    </row>
    <row r="5456" spans="12:12" x14ac:dyDescent="0.25">
      <c r="L5456"/>
    </row>
    <row r="5457" spans="12:12" x14ac:dyDescent="0.25">
      <c r="L5457"/>
    </row>
    <row r="5458" spans="12:12" x14ac:dyDescent="0.25">
      <c r="L5458"/>
    </row>
    <row r="5459" spans="12:12" x14ac:dyDescent="0.25">
      <c r="L5459"/>
    </row>
    <row r="5460" spans="12:12" x14ac:dyDescent="0.25">
      <c r="L5460"/>
    </row>
    <row r="5461" spans="12:12" x14ac:dyDescent="0.25">
      <c r="L5461"/>
    </row>
    <row r="5462" spans="12:12" x14ac:dyDescent="0.25">
      <c r="L5462"/>
    </row>
    <row r="5463" spans="12:12" x14ac:dyDescent="0.25">
      <c r="L5463"/>
    </row>
    <row r="5464" spans="12:12" x14ac:dyDescent="0.25">
      <c r="L5464"/>
    </row>
    <row r="5465" spans="12:12" x14ac:dyDescent="0.25">
      <c r="L5465"/>
    </row>
    <row r="5466" spans="12:12" x14ac:dyDescent="0.25">
      <c r="L5466"/>
    </row>
    <row r="5467" spans="12:12" x14ac:dyDescent="0.25">
      <c r="L5467"/>
    </row>
    <row r="5468" spans="12:12" x14ac:dyDescent="0.25">
      <c r="L5468"/>
    </row>
    <row r="5469" spans="12:12" x14ac:dyDescent="0.25">
      <c r="L5469"/>
    </row>
    <row r="5470" spans="12:12" x14ac:dyDescent="0.25">
      <c r="L5470"/>
    </row>
    <row r="5471" spans="12:12" x14ac:dyDescent="0.25">
      <c r="L5471"/>
    </row>
    <row r="5472" spans="12:12" x14ac:dyDescent="0.25">
      <c r="L5472"/>
    </row>
    <row r="5473" spans="12:12" x14ac:dyDescent="0.25">
      <c r="L5473"/>
    </row>
    <row r="5474" spans="12:12" x14ac:dyDescent="0.25">
      <c r="L5474"/>
    </row>
    <row r="5475" spans="12:12" x14ac:dyDescent="0.25">
      <c r="L5475"/>
    </row>
    <row r="5476" spans="12:12" x14ac:dyDescent="0.25">
      <c r="L5476"/>
    </row>
    <row r="5477" spans="12:12" x14ac:dyDescent="0.25">
      <c r="L5477"/>
    </row>
    <row r="5478" spans="12:12" x14ac:dyDescent="0.25">
      <c r="L5478"/>
    </row>
    <row r="5479" spans="12:12" x14ac:dyDescent="0.25">
      <c r="L5479"/>
    </row>
    <row r="5480" spans="12:12" x14ac:dyDescent="0.25">
      <c r="L5480"/>
    </row>
    <row r="5481" spans="12:12" x14ac:dyDescent="0.25">
      <c r="L5481"/>
    </row>
    <row r="5482" spans="12:12" x14ac:dyDescent="0.25">
      <c r="L5482"/>
    </row>
    <row r="5483" spans="12:12" x14ac:dyDescent="0.25">
      <c r="L5483"/>
    </row>
    <row r="5484" spans="12:12" x14ac:dyDescent="0.25">
      <c r="L5484"/>
    </row>
    <row r="5485" spans="12:12" x14ac:dyDescent="0.25">
      <c r="L5485"/>
    </row>
    <row r="5486" spans="12:12" x14ac:dyDescent="0.25">
      <c r="L5486"/>
    </row>
    <row r="5487" spans="12:12" x14ac:dyDescent="0.25">
      <c r="L5487"/>
    </row>
    <row r="5488" spans="12:12" x14ac:dyDescent="0.25">
      <c r="L5488"/>
    </row>
    <row r="5489" spans="12:12" x14ac:dyDescent="0.25">
      <c r="L5489"/>
    </row>
    <row r="5490" spans="12:12" x14ac:dyDescent="0.25">
      <c r="L5490"/>
    </row>
    <row r="5491" spans="12:12" x14ac:dyDescent="0.25">
      <c r="L5491"/>
    </row>
    <row r="5492" spans="12:12" x14ac:dyDescent="0.25">
      <c r="L5492"/>
    </row>
    <row r="5493" spans="12:12" x14ac:dyDescent="0.25">
      <c r="L5493"/>
    </row>
    <row r="5494" spans="12:12" x14ac:dyDescent="0.25">
      <c r="L5494"/>
    </row>
    <row r="5495" spans="12:12" x14ac:dyDescent="0.25">
      <c r="L5495"/>
    </row>
    <row r="5496" spans="12:12" x14ac:dyDescent="0.25">
      <c r="L5496"/>
    </row>
    <row r="5497" spans="12:12" x14ac:dyDescent="0.25">
      <c r="L5497"/>
    </row>
    <row r="5498" spans="12:12" x14ac:dyDescent="0.25">
      <c r="L5498"/>
    </row>
    <row r="5499" spans="12:12" x14ac:dyDescent="0.25">
      <c r="L5499"/>
    </row>
    <row r="5500" spans="12:12" x14ac:dyDescent="0.25">
      <c r="L5500"/>
    </row>
    <row r="5501" spans="12:12" x14ac:dyDescent="0.25">
      <c r="L5501"/>
    </row>
    <row r="5502" spans="12:12" x14ac:dyDescent="0.25">
      <c r="L5502"/>
    </row>
    <row r="5503" spans="12:12" x14ac:dyDescent="0.25">
      <c r="L5503"/>
    </row>
    <row r="5504" spans="12:12" x14ac:dyDescent="0.25">
      <c r="L5504"/>
    </row>
    <row r="5505" spans="12:12" x14ac:dyDescent="0.25">
      <c r="L5505"/>
    </row>
    <row r="5506" spans="12:12" x14ac:dyDescent="0.25">
      <c r="L5506"/>
    </row>
    <row r="5507" spans="12:12" x14ac:dyDescent="0.25">
      <c r="L5507"/>
    </row>
    <row r="5508" spans="12:12" x14ac:dyDescent="0.25">
      <c r="L5508"/>
    </row>
    <row r="5509" spans="12:12" x14ac:dyDescent="0.25">
      <c r="L5509"/>
    </row>
    <row r="5510" spans="12:12" x14ac:dyDescent="0.25">
      <c r="L5510"/>
    </row>
    <row r="5511" spans="12:12" x14ac:dyDescent="0.25">
      <c r="L5511"/>
    </row>
    <row r="5512" spans="12:12" x14ac:dyDescent="0.25">
      <c r="L5512"/>
    </row>
    <row r="5513" spans="12:12" x14ac:dyDescent="0.25">
      <c r="L5513"/>
    </row>
    <row r="5514" spans="12:12" x14ac:dyDescent="0.25">
      <c r="L5514"/>
    </row>
    <row r="5515" spans="12:12" x14ac:dyDescent="0.25">
      <c r="L5515"/>
    </row>
    <row r="5516" spans="12:12" x14ac:dyDescent="0.25">
      <c r="L5516"/>
    </row>
    <row r="5517" spans="12:12" x14ac:dyDescent="0.25">
      <c r="L5517"/>
    </row>
    <row r="5518" spans="12:12" x14ac:dyDescent="0.25">
      <c r="L5518"/>
    </row>
    <row r="5519" spans="12:12" x14ac:dyDescent="0.25">
      <c r="L5519"/>
    </row>
    <row r="5520" spans="12:12" x14ac:dyDescent="0.25">
      <c r="L5520"/>
    </row>
    <row r="5521" spans="12:12" x14ac:dyDescent="0.25">
      <c r="L5521"/>
    </row>
    <row r="5522" spans="12:12" x14ac:dyDescent="0.25">
      <c r="L5522"/>
    </row>
    <row r="5523" spans="12:12" x14ac:dyDescent="0.25">
      <c r="L5523"/>
    </row>
    <row r="5524" spans="12:12" x14ac:dyDescent="0.25">
      <c r="L5524"/>
    </row>
    <row r="5525" spans="12:12" x14ac:dyDescent="0.25">
      <c r="L5525"/>
    </row>
    <row r="5526" spans="12:12" x14ac:dyDescent="0.25">
      <c r="L5526"/>
    </row>
    <row r="5527" spans="12:12" x14ac:dyDescent="0.25">
      <c r="L5527"/>
    </row>
    <row r="5528" spans="12:12" x14ac:dyDescent="0.25">
      <c r="L5528"/>
    </row>
    <row r="5529" spans="12:12" x14ac:dyDescent="0.25">
      <c r="L5529"/>
    </row>
    <row r="5530" spans="12:12" x14ac:dyDescent="0.25">
      <c r="L5530"/>
    </row>
    <row r="5531" spans="12:12" x14ac:dyDescent="0.25">
      <c r="L5531"/>
    </row>
    <row r="5532" spans="12:12" x14ac:dyDescent="0.25">
      <c r="L5532"/>
    </row>
    <row r="5533" spans="12:12" x14ac:dyDescent="0.25">
      <c r="L5533"/>
    </row>
    <row r="5534" spans="12:12" x14ac:dyDescent="0.25">
      <c r="L5534"/>
    </row>
    <row r="5535" spans="12:12" x14ac:dyDescent="0.25">
      <c r="L5535"/>
    </row>
    <row r="5536" spans="12:12" x14ac:dyDescent="0.25">
      <c r="L5536"/>
    </row>
    <row r="5537" spans="12:12" x14ac:dyDescent="0.25">
      <c r="L5537"/>
    </row>
    <row r="5538" spans="12:12" x14ac:dyDescent="0.25">
      <c r="L5538"/>
    </row>
    <row r="5539" spans="12:12" x14ac:dyDescent="0.25">
      <c r="L5539"/>
    </row>
    <row r="5540" spans="12:12" x14ac:dyDescent="0.25">
      <c r="L5540"/>
    </row>
    <row r="5541" spans="12:12" x14ac:dyDescent="0.25">
      <c r="L5541"/>
    </row>
    <row r="5542" spans="12:12" x14ac:dyDescent="0.25">
      <c r="L5542"/>
    </row>
    <row r="5543" spans="12:12" x14ac:dyDescent="0.25">
      <c r="L5543"/>
    </row>
    <row r="5544" spans="12:12" x14ac:dyDescent="0.25">
      <c r="L5544"/>
    </row>
    <row r="5545" spans="12:12" x14ac:dyDescent="0.25">
      <c r="L5545"/>
    </row>
    <row r="5546" spans="12:12" x14ac:dyDescent="0.25">
      <c r="L5546"/>
    </row>
    <row r="5547" spans="12:12" x14ac:dyDescent="0.25">
      <c r="L5547"/>
    </row>
    <row r="5548" spans="12:12" x14ac:dyDescent="0.25">
      <c r="L5548"/>
    </row>
    <row r="5549" spans="12:12" x14ac:dyDescent="0.25">
      <c r="L5549"/>
    </row>
    <row r="5550" spans="12:12" x14ac:dyDescent="0.25">
      <c r="L5550"/>
    </row>
    <row r="5551" spans="12:12" x14ac:dyDescent="0.25">
      <c r="L5551"/>
    </row>
    <row r="5552" spans="12:12" x14ac:dyDescent="0.25">
      <c r="L5552"/>
    </row>
    <row r="5553" spans="12:12" x14ac:dyDescent="0.25">
      <c r="L5553"/>
    </row>
    <row r="5554" spans="12:12" x14ac:dyDescent="0.25">
      <c r="L5554"/>
    </row>
    <row r="5555" spans="12:12" x14ac:dyDescent="0.25">
      <c r="L5555"/>
    </row>
    <row r="5556" spans="12:12" x14ac:dyDescent="0.25">
      <c r="L5556"/>
    </row>
    <row r="5557" spans="12:12" x14ac:dyDescent="0.25">
      <c r="L5557"/>
    </row>
    <row r="5558" spans="12:12" x14ac:dyDescent="0.25">
      <c r="L5558"/>
    </row>
    <row r="5559" spans="12:12" x14ac:dyDescent="0.25">
      <c r="L5559"/>
    </row>
    <row r="5560" spans="12:12" x14ac:dyDescent="0.25">
      <c r="L5560"/>
    </row>
    <row r="5561" spans="12:12" x14ac:dyDescent="0.25">
      <c r="L5561"/>
    </row>
    <row r="5562" spans="12:12" x14ac:dyDescent="0.25">
      <c r="L5562"/>
    </row>
    <row r="5563" spans="12:12" x14ac:dyDescent="0.25">
      <c r="L5563"/>
    </row>
    <row r="5564" spans="12:12" x14ac:dyDescent="0.25">
      <c r="L5564"/>
    </row>
    <row r="5565" spans="12:12" x14ac:dyDescent="0.25">
      <c r="L5565"/>
    </row>
    <row r="5566" spans="12:12" x14ac:dyDescent="0.25">
      <c r="L5566"/>
    </row>
    <row r="5567" spans="12:12" x14ac:dyDescent="0.25">
      <c r="L5567"/>
    </row>
    <row r="5568" spans="12:12" x14ac:dyDescent="0.25">
      <c r="L5568"/>
    </row>
    <row r="5569" spans="12:12" x14ac:dyDescent="0.25">
      <c r="L5569"/>
    </row>
    <row r="5570" spans="12:12" x14ac:dyDescent="0.25">
      <c r="L5570"/>
    </row>
    <row r="5571" spans="12:12" x14ac:dyDescent="0.25">
      <c r="L5571"/>
    </row>
    <row r="5572" spans="12:12" x14ac:dyDescent="0.25">
      <c r="L5572"/>
    </row>
    <row r="5573" spans="12:12" x14ac:dyDescent="0.25">
      <c r="L5573"/>
    </row>
    <row r="5574" spans="12:12" x14ac:dyDescent="0.25">
      <c r="L5574"/>
    </row>
    <row r="5575" spans="12:12" x14ac:dyDescent="0.25">
      <c r="L5575"/>
    </row>
    <row r="5576" spans="12:12" x14ac:dyDescent="0.25">
      <c r="L5576"/>
    </row>
    <row r="5577" spans="12:12" x14ac:dyDescent="0.25">
      <c r="L5577"/>
    </row>
    <row r="5578" spans="12:12" x14ac:dyDescent="0.25">
      <c r="L5578"/>
    </row>
    <row r="5579" spans="12:12" x14ac:dyDescent="0.25">
      <c r="L5579"/>
    </row>
    <row r="5580" spans="12:12" x14ac:dyDescent="0.25">
      <c r="L5580"/>
    </row>
    <row r="5581" spans="12:12" x14ac:dyDescent="0.25">
      <c r="L5581"/>
    </row>
    <row r="5582" spans="12:12" x14ac:dyDescent="0.25">
      <c r="L5582"/>
    </row>
    <row r="5583" spans="12:12" x14ac:dyDescent="0.25">
      <c r="L5583"/>
    </row>
    <row r="5584" spans="12:12" x14ac:dyDescent="0.25">
      <c r="L5584"/>
    </row>
    <row r="5585" spans="12:12" x14ac:dyDescent="0.25">
      <c r="L5585"/>
    </row>
    <row r="5586" spans="12:12" x14ac:dyDescent="0.25">
      <c r="L5586"/>
    </row>
    <row r="5587" spans="12:12" x14ac:dyDescent="0.25">
      <c r="L5587"/>
    </row>
    <row r="5588" spans="12:12" x14ac:dyDescent="0.25">
      <c r="L5588"/>
    </row>
    <row r="5589" spans="12:12" x14ac:dyDescent="0.25">
      <c r="L5589"/>
    </row>
    <row r="5590" spans="12:12" x14ac:dyDescent="0.25">
      <c r="L5590"/>
    </row>
    <row r="5591" spans="12:12" x14ac:dyDescent="0.25">
      <c r="L5591"/>
    </row>
    <row r="5592" spans="12:12" x14ac:dyDescent="0.25">
      <c r="L5592"/>
    </row>
    <row r="5593" spans="12:12" x14ac:dyDescent="0.25">
      <c r="L5593"/>
    </row>
    <row r="5594" spans="12:12" x14ac:dyDescent="0.25">
      <c r="L5594"/>
    </row>
    <row r="5595" spans="12:12" x14ac:dyDescent="0.25">
      <c r="L5595"/>
    </row>
    <row r="5596" spans="12:12" x14ac:dyDescent="0.25">
      <c r="L5596"/>
    </row>
    <row r="5597" spans="12:12" x14ac:dyDescent="0.25">
      <c r="L5597"/>
    </row>
    <row r="5598" spans="12:12" x14ac:dyDescent="0.25">
      <c r="L5598"/>
    </row>
    <row r="5599" spans="12:12" x14ac:dyDescent="0.25">
      <c r="L5599"/>
    </row>
    <row r="5600" spans="12:12" x14ac:dyDescent="0.25">
      <c r="L5600"/>
    </row>
    <row r="5601" spans="12:12" x14ac:dyDescent="0.25">
      <c r="L5601"/>
    </row>
    <row r="5602" spans="12:12" x14ac:dyDescent="0.25">
      <c r="L5602"/>
    </row>
    <row r="5603" spans="12:12" x14ac:dyDescent="0.25">
      <c r="L5603"/>
    </row>
    <row r="5604" spans="12:12" x14ac:dyDescent="0.25">
      <c r="L5604"/>
    </row>
    <row r="5605" spans="12:12" x14ac:dyDescent="0.25">
      <c r="L5605"/>
    </row>
    <row r="5606" spans="12:12" x14ac:dyDescent="0.25">
      <c r="L5606"/>
    </row>
    <row r="5607" spans="12:12" x14ac:dyDescent="0.25">
      <c r="L5607"/>
    </row>
    <row r="5608" spans="12:12" x14ac:dyDescent="0.25">
      <c r="L5608"/>
    </row>
    <row r="5609" spans="12:12" x14ac:dyDescent="0.25">
      <c r="L5609"/>
    </row>
    <row r="5610" spans="12:12" x14ac:dyDescent="0.25">
      <c r="L5610"/>
    </row>
    <row r="5611" spans="12:12" x14ac:dyDescent="0.25">
      <c r="L5611"/>
    </row>
    <row r="5612" spans="12:12" x14ac:dyDescent="0.25">
      <c r="L5612"/>
    </row>
    <row r="5613" spans="12:12" x14ac:dyDescent="0.25">
      <c r="L5613"/>
    </row>
    <row r="5614" spans="12:12" x14ac:dyDescent="0.25">
      <c r="L5614"/>
    </row>
    <row r="5615" spans="12:12" x14ac:dyDescent="0.25">
      <c r="L5615"/>
    </row>
    <row r="5616" spans="12:12" x14ac:dyDescent="0.25">
      <c r="L5616"/>
    </row>
    <row r="5617" spans="12:12" x14ac:dyDescent="0.25">
      <c r="L5617"/>
    </row>
    <row r="5618" spans="12:12" x14ac:dyDescent="0.25">
      <c r="L5618"/>
    </row>
    <row r="5619" spans="12:12" x14ac:dyDescent="0.25">
      <c r="L5619"/>
    </row>
    <row r="5620" spans="12:12" x14ac:dyDescent="0.25">
      <c r="L5620"/>
    </row>
    <row r="5621" spans="12:12" x14ac:dyDescent="0.25">
      <c r="L5621"/>
    </row>
    <row r="5622" spans="12:12" x14ac:dyDescent="0.25">
      <c r="L5622"/>
    </row>
    <row r="5623" spans="12:12" x14ac:dyDescent="0.25">
      <c r="L5623"/>
    </row>
    <row r="5624" spans="12:12" x14ac:dyDescent="0.25">
      <c r="L5624"/>
    </row>
    <row r="5625" spans="12:12" x14ac:dyDescent="0.25">
      <c r="L5625"/>
    </row>
    <row r="5626" spans="12:12" x14ac:dyDescent="0.25">
      <c r="L5626"/>
    </row>
    <row r="5627" spans="12:12" x14ac:dyDescent="0.25">
      <c r="L5627"/>
    </row>
    <row r="5628" spans="12:12" x14ac:dyDescent="0.25">
      <c r="L5628"/>
    </row>
    <row r="5629" spans="12:12" x14ac:dyDescent="0.25">
      <c r="L5629"/>
    </row>
    <row r="5630" spans="12:12" x14ac:dyDescent="0.25">
      <c r="L5630"/>
    </row>
    <row r="5631" spans="12:12" x14ac:dyDescent="0.25">
      <c r="L5631"/>
    </row>
    <row r="5632" spans="12:12" x14ac:dyDescent="0.25">
      <c r="L5632"/>
    </row>
    <row r="5633" spans="12:12" x14ac:dyDescent="0.25">
      <c r="L5633"/>
    </row>
    <row r="5634" spans="12:12" x14ac:dyDescent="0.25">
      <c r="L5634"/>
    </row>
    <row r="5635" spans="12:12" x14ac:dyDescent="0.25">
      <c r="L5635"/>
    </row>
    <row r="5636" spans="12:12" x14ac:dyDescent="0.25">
      <c r="L5636"/>
    </row>
    <row r="5637" spans="12:12" x14ac:dyDescent="0.25">
      <c r="L5637"/>
    </row>
    <row r="5638" spans="12:12" x14ac:dyDescent="0.25">
      <c r="L5638"/>
    </row>
    <row r="5639" spans="12:12" x14ac:dyDescent="0.25">
      <c r="L5639"/>
    </row>
    <row r="5640" spans="12:12" x14ac:dyDescent="0.25">
      <c r="L5640"/>
    </row>
    <row r="5641" spans="12:12" x14ac:dyDescent="0.25">
      <c r="L5641"/>
    </row>
    <row r="5642" spans="12:12" x14ac:dyDescent="0.25">
      <c r="L5642"/>
    </row>
    <row r="5643" spans="12:12" x14ac:dyDescent="0.25">
      <c r="L5643"/>
    </row>
    <row r="5644" spans="12:12" x14ac:dyDescent="0.25">
      <c r="L5644"/>
    </row>
    <row r="5645" spans="12:12" x14ac:dyDescent="0.25">
      <c r="L5645"/>
    </row>
    <row r="5646" spans="12:12" x14ac:dyDescent="0.25">
      <c r="L5646"/>
    </row>
    <row r="5647" spans="12:12" x14ac:dyDescent="0.25">
      <c r="L5647"/>
    </row>
    <row r="5648" spans="12:12" x14ac:dyDescent="0.25">
      <c r="L5648"/>
    </row>
    <row r="5649" spans="12:12" x14ac:dyDescent="0.25">
      <c r="L5649"/>
    </row>
    <row r="5650" spans="12:12" x14ac:dyDescent="0.25">
      <c r="L5650"/>
    </row>
    <row r="5651" spans="12:12" x14ac:dyDescent="0.25">
      <c r="L5651"/>
    </row>
    <row r="5652" spans="12:12" x14ac:dyDescent="0.25">
      <c r="L5652"/>
    </row>
    <row r="5653" spans="12:12" x14ac:dyDescent="0.25">
      <c r="L5653"/>
    </row>
    <row r="5654" spans="12:12" x14ac:dyDescent="0.25">
      <c r="L5654"/>
    </row>
    <row r="5655" spans="12:12" x14ac:dyDescent="0.25">
      <c r="L5655"/>
    </row>
    <row r="5656" spans="12:12" x14ac:dyDescent="0.25">
      <c r="L5656"/>
    </row>
    <row r="5657" spans="12:12" x14ac:dyDescent="0.25">
      <c r="L5657"/>
    </row>
    <row r="5658" spans="12:12" x14ac:dyDescent="0.25">
      <c r="L5658"/>
    </row>
    <row r="5659" spans="12:12" x14ac:dyDescent="0.25">
      <c r="L5659"/>
    </row>
    <row r="5660" spans="12:12" x14ac:dyDescent="0.25">
      <c r="L5660"/>
    </row>
    <row r="5661" spans="12:12" x14ac:dyDescent="0.25">
      <c r="L5661"/>
    </row>
    <row r="5662" spans="12:12" x14ac:dyDescent="0.25">
      <c r="L5662"/>
    </row>
    <row r="5663" spans="12:12" x14ac:dyDescent="0.25">
      <c r="L5663"/>
    </row>
    <row r="5664" spans="12:12" x14ac:dyDescent="0.25">
      <c r="L5664"/>
    </row>
    <row r="5665" spans="12:12" x14ac:dyDescent="0.25">
      <c r="L5665"/>
    </row>
    <row r="5666" spans="12:12" x14ac:dyDescent="0.25">
      <c r="L5666"/>
    </row>
    <row r="5667" spans="12:12" x14ac:dyDescent="0.25">
      <c r="L5667"/>
    </row>
    <row r="5668" spans="12:12" x14ac:dyDescent="0.25">
      <c r="L5668"/>
    </row>
    <row r="5669" spans="12:12" x14ac:dyDescent="0.25">
      <c r="L5669"/>
    </row>
    <row r="5670" spans="12:12" x14ac:dyDescent="0.25">
      <c r="L5670"/>
    </row>
    <row r="5671" spans="12:12" x14ac:dyDescent="0.25">
      <c r="L5671"/>
    </row>
    <row r="5672" spans="12:12" x14ac:dyDescent="0.25">
      <c r="L5672"/>
    </row>
    <row r="5673" spans="12:12" x14ac:dyDescent="0.25">
      <c r="L5673"/>
    </row>
    <row r="5674" spans="12:12" x14ac:dyDescent="0.25">
      <c r="L5674"/>
    </row>
    <row r="5675" spans="12:12" x14ac:dyDescent="0.25">
      <c r="L5675"/>
    </row>
    <row r="5676" spans="12:12" x14ac:dyDescent="0.25">
      <c r="L5676"/>
    </row>
    <row r="5677" spans="12:12" x14ac:dyDescent="0.25">
      <c r="L5677"/>
    </row>
    <row r="5678" spans="12:12" x14ac:dyDescent="0.25">
      <c r="L5678"/>
    </row>
    <row r="5679" spans="12:12" x14ac:dyDescent="0.25">
      <c r="L5679"/>
    </row>
    <row r="5680" spans="12:12" x14ac:dyDescent="0.25">
      <c r="L5680"/>
    </row>
    <row r="5681" spans="12:12" x14ac:dyDescent="0.25">
      <c r="L5681"/>
    </row>
    <row r="5682" spans="12:12" x14ac:dyDescent="0.25">
      <c r="L5682"/>
    </row>
    <row r="5683" spans="12:12" x14ac:dyDescent="0.25">
      <c r="L5683"/>
    </row>
    <row r="5684" spans="12:12" x14ac:dyDescent="0.25">
      <c r="L5684"/>
    </row>
    <row r="5685" spans="12:12" x14ac:dyDescent="0.25">
      <c r="L5685"/>
    </row>
    <row r="5686" spans="12:12" x14ac:dyDescent="0.25">
      <c r="L5686"/>
    </row>
    <row r="5687" spans="12:12" x14ac:dyDescent="0.25">
      <c r="L5687"/>
    </row>
    <row r="5688" spans="12:12" x14ac:dyDescent="0.25">
      <c r="L5688"/>
    </row>
    <row r="5689" spans="12:12" x14ac:dyDescent="0.25">
      <c r="L5689"/>
    </row>
    <row r="5690" spans="12:12" x14ac:dyDescent="0.25">
      <c r="L5690"/>
    </row>
    <row r="5691" spans="12:12" x14ac:dyDescent="0.25">
      <c r="L5691"/>
    </row>
    <row r="5692" spans="12:12" x14ac:dyDescent="0.25">
      <c r="L5692"/>
    </row>
    <row r="5693" spans="12:12" x14ac:dyDescent="0.25">
      <c r="L5693"/>
    </row>
    <row r="5694" spans="12:12" x14ac:dyDescent="0.25">
      <c r="L5694"/>
    </row>
    <row r="5695" spans="12:12" x14ac:dyDescent="0.25">
      <c r="L5695"/>
    </row>
    <row r="5696" spans="12:12" x14ac:dyDescent="0.25">
      <c r="L5696"/>
    </row>
    <row r="5697" spans="12:12" x14ac:dyDescent="0.25">
      <c r="L5697"/>
    </row>
    <row r="5698" spans="12:12" x14ac:dyDescent="0.25">
      <c r="L5698"/>
    </row>
    <row r="5699" spans="12:12" x14ac:dyDescent="0.25">
      <c r="L5699"/>
    </row>
    <row r="5700" spans="12:12" x14ac:dyDescent="0.25">
      <c r="L5700"/>
    </row>
    <row r="5701" spans="12:12" x14ac:dyDescent="0.25">
      <c r="L5701"/>
    </row>
    <row r="5702" spans="12:12" x14ac:dyDescent="0.25">
      <c r="L5702"/>
    </row>
    <row r="5703" spans="12:12" x14ac:dyDescent="0.25">
      <c r="L5703"/>
    </row>
    <row r="5704" spans="12:12" x14ac:dyDescent="0.25">
      <c r="L5704"/>
    </row>
    <row r="5705" spans="12:12" x14ac:dyDescent="0.25">
      <c r="L5705"/>
    </row>
    <row r="5706" spans="12:12" x14ac:dyDescent="0.25">
      <c r="L5706"/>
    </row>
    <row r="5707" spans="12:12" x14ac:dyDescent="0.25">
      <c r="L5707"/>
    </row>
    <row r="5708" spans="12:12" x14ac:dyDescent="0.25">
      <c r="L5708"/>
    </row>
    <row r="5709" spans="12:12" x14ac:dyDescent="0.25">
      <c r="L5709"/>
    </row>
    <row r="5710" spans="12:12" x14ac:dyDescent="0.25">
      <c r="L5710"/>
    </row>
    <row r="5711" spans="12:12" x14ac:dyDescent="0.25">
      <c r="L5711"/>
    </row>
    <row r="5712" spans="12:12" x14ac:dyDescent="0.25">
      <c r="L5712"/>
    </row>
    <row r="5713" spans="12:12" x14ac:dyDescent="0.25">
      <c r="L5713"/>
    </row>
    <row r="5714" spans="12:12" x14ac:dyDescent="0.25">
      <c r="L5714"/>
    </row>
    <row r="5715" spans="12:12" x14ac:dyDescent="0.25">
      <c r="L5715"/>
    </row>
    <row r="5716" spans="12:12" x14ac:dyDescent="0.25">
      <c r="L5716"/>
    </row>
    <row r="5717" spans="12:12" x14ac:dyDescent="0.25">
      <c r="L5717"/>
    </row>
    <row r="5718" spans="12:12" x14ac:dyDescent="0.25">
      <c r="L5718"/>
    </row>
    <row r="5719" spans="12:12" x14ac:dyDescent="0.25">
      <c r="L5719"/>
    </row>
    <row r="5720" spans="12:12" x14ac:dyDescent="0.25">
      <c r="L5720"/>
    </row>
    <row r="5721" spans="12:12" x14ac:dyDescent="0.25">
      <c r="L5721"/>
    </row>
    <row r="5722" spans="12:12" x14ac:dyDescent="0.25">
      <c r="L5722"/>
    </row>
    <row r="5723" spans="12:12" x14ac:dyDescent="0.25">
      <c r="L5723"/>
    </row>
    <row r="5724" spans="12:12" x14ac:dyDescent="0.25">
      <c r="L5724"/>
    </row>
    <row r="5725" spans="12:12" x14ac:dyDescent="0.25">
      <c r="L5725"/>
    </row>
    <row r="5726" spans="12:12" x14ac:dyDescent="0.25">
      <c r="L5726"/>
    </row>
    <row r="5727" spans="12:12" x14ac:dyDescent="0.25">
      <c r="L5727"/>
    </row>
    <row r="5728" spans="12:12" x14ac:dyDescent="0.25">
      <c r="L5728"/>
    </row>
    <row r="5729" spans="12:12" x14ac:dyDescent="0.25">
      <c r="L5729"/>
    </row>
    <row r="5730" spans="12:12" x14ac:dyDescent="0.25">
      <c r="L5730"/>
    </row>
    <row r="5731" spans="12:12" x14ac:dyDescent="0.25">
      <c r="L5731"/>
    </row>
    <row r="5732" spans="12:12" x14ac:dyDescent="0.25">
      <c r="L5732"/>
    </row>
    <row r="5733" spans="12:12" x14ac:dyDescent="0.25">
      <c r="L5733"/>
    </row>
    <row r="5734" spans="12:12" x14ac:dyDescent="0.25">
      <c r="L5734"/>
    </row>
    <row r="5735" spans="12:12" x14ac:dyDescent="0.25">
      <c r="L5735"/>
    </row>
    <row r="5736" spans="12:12" x14ac:dyDescent="0.25">
      <c r="L5736"/>
    </row>
    <row r="5737" spans="12:12" x14ac:dyDescent="0.25">
      <c r="L5737"/>
    </row>
    <row r="5738" spans="12:12" x14ac:dyDescent="0.25">
      <c r="L5738"/>
    </row>
    <row r="5739" spans="12:12" x14ac:dyDescent="0.25">
      <c r="L5739"/>
    </row>
    <row r="5740" spans="12:12" x14ac:dyDescent="0.25">
      <c r="L5740"/>
    </row>
    <row r="5741" spans="12:12" x14ac:dyDescent="0.25">
      <c r="L5741"/>
    </row>
    <row r="5742" spans="12:12" x14ac:dyDescent="0.25">
      <c r="L5742"/>
    </row>
    <row r="5743" spans="12:12" x14ac:dyDescent="0.25">
      <c r="L5743"/>
    </row>
    <row r="5744" spans="12:12" x14ac:dyDescent="0.25">
      <c r="L5744"/>
    </row>
    <row r="5745" spans="12:12" x14ac:dyDescent="0.25">
      <c r="L5745"/>
    </row>
    <row r="5746" spans="12:12" x14ac:dyDescent="0.25">
      <c r="L5746"/>
    </row>
    <row r="5747" spans="12:12" x14ac:dyDescent="0.25">
      <c r="L5747"/>
    </row>
    <row r="5748" spans="12:12" x14ac:dyDescent="0.25">
      <c r="L5748"/>
    </row>
    <row r="5749" spans="12:12" x14ac:dyDescent="0.25">
      <c r="L5749"/>
    </row>
    <row r="5750" spans="12:12" x14ac:dyDescent="0.25">
      <c r="L5750"/>
    </row>
    <row r="5751" spans="12:12" x14ac:dyDescent="0.25">
      <c r="L5751"/>
    </row>
    <row r="5752" spans="12:12" x14ac:dyDescent="0.25">
      <c r="L5752"/>
    </row>
    <row r="5753" spans="12:12" x14ac:dyDescent="0.25">
      <c r="L5753"/>
    </row>
    <row r="5754" spans="12:12" x14ac:dyDescent="0.25">
      <c r="L5754"/>
    </row>
    <row r="5755" spans="12:12" x14ac:dyDescent="0.25">
      <c r="L5755"/>
    </row>
    <row r="5756" spans="12:12" x14ac:dyDescent="0.25">
      <c r="L5756"/>
    </row>
    <row r="5757" spans="12:12" x14ac:dyDescent="0.25">
      <c r="L5757"/>
    </row>
    <row r="5758" spans="12:12" x14ac:dyDescent="0.25">
      <c r="L5758"/>
    </row>
    <row r="5759" spans="12:12" x14ac:dyDescent="0.25">
      <c r="L5759"/>
    </row>
    <row r="5760" spans="12:12" x14ac:dyDescent="0.25">
      <c r="L5760"/>
    </row>
    <row r="5761" spans="12:12" x14ac:dyDescent="0.25">
      <c r="L5761"/>
    </row>
    <row r="5762" spans="12:12" x14ac:dyDescent="0.25">
      <c r="L5762"/>
    </row>
    <row r="5763" spans="12:12" x14ac:dyDescent="0.25">
      <c r="L5763"/>
    </row>
    <row r="5764" spans="12:12" x14ac:dyDescent="0.25">
      <c r="L5764"/>
    </row>
    <row r="5765" spans="12:12" x14ac:dyDescent="0.25">
      <c r="L5765"/>
    </row>
    <row r="5766" spans="12:12" x14ac:dyDescent="0.25">
      <c r="L5766"/>
    </row>
    <row r="5767" spans="12:12" x14ac:dyDescent="0.25">
      <c r="L5767"/>
    </row>
    <row r="5768" spans="12:12" x14ac:dyDescent="0.25">
      <c r="L5768"/>
    </row>
    <row r="5769" spans="12:12" x14ac:dyDescent="0.25">
      <c r="L5769"/>
    </row>
    <row r="5770" spans="12:12" x14ac:dyDescent="0.25">
      <c r="L5770"/>
    </row>
    <row r="5771" spans="12:12" x14ac:dyDescent="0.25">
      <c r="L5771"/>
    </row>
    <row r="5772" spans="12:12" x14ac:dyDescent="0.25">
      <c r="L5772"/>
    </row>
    <row r="5773" spans="12:12" x14ac:dyDescent="0.25">
      <c r="L5773"/>
    </row>
    <row r="5774" spans="12:12" x14ac:dyDescent="0.25">
      <c r="L5774"/>
    </row>
    <row r="5775" spans="12:12" x14ac:dyDescent="0.25">
      <c r="L5775"/>
    </row>
    <row r="5776" spans="12:12" x14ac:dyDescent="0.25">
      <c r="L5776"/>
    </row>
    <row r="5777" spans="12:12" x14ac:dyDescent="0.25">
      <c r="L5777"/>
    </row>
    <row r="5778" spans="12:12" x14ac:dyDescent="0.25">
      <c r="L5778"/>
    </row>
    <row r="5779" spans="12:12" x14ac:dyDescent="0.25">
      <c r="L5779"/>
    </row>
    <row r="5780" spans="12:12" x14ac:dyDescent="0.25">
      <c r="L5780"/>
    </row>
    <row r="5781" spans="12:12" x14ac:dyDescent="0.25">
      <c r="L5781"/>
    </row>
    <row r="5782" spans="12:12" x14ac:dyDescent="0.25">
      <c r="L5782"/>
    </row>
    <row r="5783" spans="12:12" x14ac:dyDescent="0.25">
      <c r="L5783"/>
    </row>
    <row r="5784" spans="12:12" x14ac:dyDescent="0.25">
      <c r="L5784"/>
    </row>
    <row r="5785" spans="12:12" x14ac:dyDescent="0.25">
      <c r="L5785"/>
    </row>
    <row r="5786" spans="12:12" x14ac:dyDescent="0.25">
      <c r="L5786"/>
    </row>
    <row r="5787" spans="12:12" x14ac:dyDescent="0.25">
      <c r="L5787"/>
    </row>
    <row r="5788" spans="12:12" x14ac:dyDescent="0.25">
      <c r="L5788"/>
    </row>
    <row r="5789" spans="12:12" x14ac:dyDescent="0.25">
      <c r="L5789"/>
    </row>
    <row r="5790" spans="12:12" x14ac:dyDescent="0.25">
      <c r="L5790"/>
    </row>
    <row r="5791" spans="12:12" x14ac:dyDescent="0.25">
      <c r="L5791"/>
    </row>
    <row r="5792" spans="12:12" x14ac:dyDescent="0.25">
      <c r="L5792"/>
    </row>
    <row r="5793" spans="12:12" x14ac:dyDescent="0.25">
      <c r="L5793"/>
    </row>
    <row r="5794" spans="12:12" x14ac:dyDescent="0.25">
      <c r="L5794"/>
    </row>
    <row r="5795" spans="12:12" x14ac:dyDescent="0.25">
      <c r="L5795"/>
    </row>
    <row r="5796" spans="12:12" x14ac:dyDescent="0.25">
      <c r="L5796"/>
    </row>
    <row r="5797" spans="12:12" x14ac:dyDescent="0.25">
      <c r="L5797"/>
    </row>
    <row r="5798" spans="12:12" x14ac:dyDescent="0.25">
      <c r="L5798"/>
    </row>
    <row r="5799" spans="12:12" x14ac:dyDescent="0.25">
      <c r="L5799"/>
    </row>
    <row r="5800" spans="12:12" x14ac:dyDescent="0.25">
      <c r="L5800"/>
    </row>
    <row r="5801" spans="12:12" x14ac:dyDescent="0.25">
      <c r="L5801"/>
    </row>
    <row r="5802" spans="12:12" x14ac:dyDescent="0.25">
      <c r="L5802"/>
    </row>
    <row r="5803" spans="12:12" x14ac:dyDescent="0.25">
      <c r="L5803"/>
    </row>
    <row r="5804" spans="12:12" x14ac:dyDescent="0.25">
      <c r="L5804"/>
    </row>
    <row r="5805" spans="12:12" x14ac:dyDescent="0.25">
      <c r="L5805"/>
    </row>
    <row r="5806" spans="12:12" x14ac:dyDescent="0.25">
      <c r="L5806"/>
    </row>
    <row r="5807" spans="12:12" x14ac:dyDescent="0.25">
      <c r="L5807"/>
    </row>
    <row r="5808" spans="12:12" x14ac:dyDescent="0.25">
      <c r="L5808"/>
    </row>
    <row r="5809" spans="12:12" x14ac:dyDescent="0.25">
      <c r="L5809"/>
    </row>
    <row r="5810" spans="12:12" x14ac:dyDescent="0.25">
      <c r="L5810"/>
    </row>
    <row r="5811" spans="12:12" x14ac:dyDescent="0.25">
      <c r="L5811"/>
    </row>
    <row r="5812" spans="12:12" x14ac:dyDescent="0.25">
      <c r="L5812"/>
    </row>
    <row r="5813" spans="12:12" x14ac:dyDescent="0.25">
      <c r="L5813"/>
    </row>
    <row r="5814" spans="12:12" x14ac:dyDescent="0.25">
      <c r="L5814"/>
    </row>
    <row r="5815" spans="12:12" x14ac:dyDescent="0.25">
      <c r="L5815"/>
    </row>
    <row r="5816" spans="12:12" x14ac:dyDescent="0.25">
      <c r="L5816"/>
    </row>
    <row r="5817" spans="12:12" x14ac:dyDescent="0.25">
      <c r="L5817"/>
    </row>
    <row r="5818" spans="12:12" x14ac:dyDescent="0.25">
      <c r="L5818"/>
    </row>
    <row r="5819" spans="12:12" x14ac:dyDescent="0.25">
      <c r="L5819"/>
    </row>
    <row r="5820" spans="12:12" x14ac:dyDescent="0.25">
      <c r="L5820"/>
    </row>
    <row r="5821" spans="12:12" x14ac:dyDescent="0.25">
      <c r="L5821"/>
    </row>
    <row r="5822" spans="12:12" x14ac:dyDescent="0.25">
      <c r="L5822"/>
    </row>
    <row r="5823" spans="12:12" x14ac:dyDescent="0.25">
      <c r="L5823"/>
    </row>
    <row r="5824" spans="12:12" x14ac:dyDescent="0.25">
      <c r="L5824"/>
    </row>
    <row r="5825" spans="12:12" x14ac:dyDescent="0.25">
      <c r="L5825"/>
    </row>
    <row r="5826" spans="12:12" x14ac:dyDescent="0.25">
      <c r="L5826"/>
    </row>
    <row r="5827" spans="12:12" x14ac:dyDescent="0.25">
      <c r="L5827"/>
    </row>
    <row r="5828" spans="12:12" x14ac:dyDescent="0.25">
      <c r="L5828"/>
    </row>
    <row r="5829" spans="12:12" x14ac:dyDescent="0.25">
      <c r="L5829"/>
    </row>
    <row r="5830" spans="12:12" x14ac:dyDescent="0.25">
      <c r="L5830"/>
    </row>
    <row r="5831" spans="12:12" x14ac:dyDescent="0.25">
      <c r="L5831"/>
    </row>
    <row r="5832" spans="12:12" x14ac:dyDescent="0.25">
      <c r="L5832"/>
    </row>
    <row r="5833" spans="12:12" x14ac:dyDescent="0.25">
      <c r="L5833"/>
    </row>
    <row r="5834" spans="12:12" x14ac:dyDescent="0.25">
      <c r="L5834"/>
    </row>
    <row r="5835" spans="12:12" x14ac:dyDescent="0.25">
      <c r="L5835"/>
    </row>
    <row r="5836" spans="12:12" x14ac:dyDescent="0.25">
      <c r="L5836"/>
    </row>
    <row r="5837" spans="12:12" x14ac:dyDescent="0.25">
      <c r="L5837"/>
    </row>
    <row r="5838" spans="12:12" x14ac:dyDescent="0.25">
      <c r="L5838"/>
    </row>
    <row r="5839" spans="12:12" x14ac:dyDescent="0.25">
      <c r="L5839"/>
    </row>
    <row r="5840" spans="12:12" x14ac:dyDescent="0.25">
      <c r="L5840"/>
    </row>
    <row r="5841" spans="12:12" x14ac:dyDescent="0.25">
      <c r="L5841"/>
    </row>
    <row r="5842" spans="12:12" x14ac:dyDescent="0.25">
      <c r="L5842"/>
    </row>
    <row r="5843" spans="12:12" x14ac:dyDescent="0.25">
      <c r="L5843"/>
    </row>
    <row r="5844" spans="12:12" x14ac:dyDescent="0.25">
      <c r="L5844"/>
    </row>
    <row r="5845" spans="12:12" x14ac:dyDescent="0.25">
      <c r="L5845"/>
    </row>
    <row r="5846" spans="12:12" x14ac:dyDescent="0.25">
      <c r="L5846"/>
    </row>
    <row r="5847" spans="12:12" x14ac:dyDescent="0.25">
      <c r="L5847"/>
    </row>
    <row r="5848" spans="12:12" x14ac:dyDescent="0.25">
      <c r="L5848"/>
    </row>
    <row r="5849" spans="12:12" x14ac:dyDescent="0.25">
      <c r="L5849"/>
    </row>
    <row r="5850" spans="12:12" x14ac:dyDescent="0.25">
      <c r="L5850"/>
    </row>
    <row r="5851" spans="12:12" x14ac:dyDescent="0.25">
      <c r="L5851"/>
    </row>
    <row r="5852" spans="12:12" x14ac:dyDescent="0.25">
      <c r="L5852"/>
    </row>
    <row r="5853" spans="12:12" x14ac:dyDescent="0.25">
      <c r="L5853"/>
    </row>
    <row r="5854" spans="12:12" x14ac:dyDescent="0.25">
      <c r="L5854"/>
    </row>
    <row r="5855" spans="12:12" x14ac:dyDescent="0.25">
      <c r="L5855"/>
    </row>
    <row r="5856" spans="12:12" x14ac:dyDescent="0.25">
      <c r="L5856"/>
    </row>
    <row r="5857" spans="12:12" x14ac:dyDescent="0.25">
      <c r="L5857"/>
    </row>
    <row r="5858" spans="12:12" x14ac:dyDescent="0.25">
      <c r="L5858"/>
    </row>
    <row r="5859" spans="12:12" x14ac:dyDescent="0.25">
      <c r="L5859"/>
    </row>
    <row r="5860" spans="12:12" x14ac:dyDescent="0.25">
      <c r="L5860"/>
    </row>
    <row r="5861" spans="12:12" x14ac:dyDescent="0.25">
      <c r="L5861"/>
    </row>
    <row r="5862" spans="12:12" x14ac:dyDescent="0.25">
      <c r="L5862"/>
    </row>
    <row r="5863" spans="12:12" x14ac:dyDescent="0.25">
      <c r="L5863"/>
    </row>
    <row r="5864" spans="12:12" x14ac:dyDescent="0.25">
      <c r="L5864"/>
    </row>
    <row r="5865" spans="12:12" x14ac:dyDescent="0.25">
      <c r="L5865"/>
    </row>
    <row r="5866" spans="12:12" x14ac:dyDescent="0.25">
      <c r="L5866"/>
    </row>
    <row r="5867" spans="12:12" x14ac:dyDescent="0.25">
      <c r="L5867"/>
    </row>
    <row r="5868" spans="12:12" x14ac:dyDescent="0.25">
      <c r="L5868"/>
    </row>
    <row r="5869" spans="12:12" x14ac:dyDescent="0.25">
      <c r="L5869"/>
    </row>
    <row r="5870" spans="12:12" x14ac:dyDescent="0.25">
      <c r="L5870"/>
    </row>
    <row r="5871" spans="12:12" x14ac:dyDescent="0.25">
      <c r="L5871"/>
    </row>
    <row r="5872" spans="12:12" x14ac:dyDescent="0.25">
      <c r="L5872"/>
    </row>
    <row r="5873" spans="12:12" x14ac:dyDescent="0.25">
      <c r="L5873"/>
    </row>
    <row r="5874" spans="12:12" x14ac:dyDescent="0.25">
      <c r="L5874"/>
    </row>
    <row r="5875" spans="12:12" x14ac:dyDescent="0.25">
      <c r="L5875"/>
    </row>
    <row r="5876" spans="12:12" x14ac:dyDescent="0.25">
      <c r="L5876"/>
    </row>
    <row r="5877" spans="12:12" x14ac:dyDescent="0.25">
      <c r="L5877"/>
    </row>
    <row r="5878" spans="12:12" x14ac:dyDescent="0.25">
      <c r="L5878"/>
    </row>
    <row r="5879" spans="12:12" x14ac:dyDescent="0.25">
      <c r="L5879"/>
    </row>
    <row r="5880" spans="12:12" x14ac:dyDescent="0.25">
      <c r="L5880"/>
    </row>
  </sheetData>
  <pageMargins left="0.7" right="0.7" top="0.75" bottom="0.75" header="0.3" footer="0.3"/>
  <pageSetup paperSize="9" orientation="portrait" horizontalDpi="4294967293" verticalDpi="4294967293"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D05F9-DA2A-454E-9CB4-C1B4BCEE1BB1}">
  <sheetPr codeName="Sheet2"/>
  <dimension ref="U20"/>
  <sheetViews>
    <sheetView showGridLines="0" tabSelected="1" workbookViewId="0">
      <selection activeCell="U21" sqref="U21"/>
    </sheetView>
  </sheetViews>
  <sheetFormatPr defaultRowHeight="15" x14ac:dyDescent="0.25"/>
  <cols>
    <col min="1" max="16384" width="9.140625" style="4"/>
  </cols>
  <sheetData>
    <row r="20" spans="21:21" x14ac:dyDescent="0.25">
      <c r="U20" s="6"/>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49D8B-ED32-4C3C-9CEE-B6626EDC42A3}">
  <sheetPr codeName="Sheet3"/>
  <dimension ref="A1:M501"/>
  <sheetViews>
    <sheetView topLeftCell="A19" workbookViewId="0">
      <selection activeCell="M1" sqref="M1:M1048576"/>
    </sheetView>
  </sheetViews>
  <sheetFormatPr defaultRowHeight="15" x14ac:dyDescent="0.25"/>
  <cols>
    <col min="1" max="1" width="10.7109375" bestFit="1" customWidth="1"/>
    <col min="2" max="2" width="10.85546875" bestFit="1" customWidth="1"/>
    <col min="3" max="3" width="14.28515625" bestFit="1" customWidth="1"/>
    <col min="4" max="4" width="15.42578125" bestFit="1" customWidth="1"/>
    <col min="5" max="5" width="17.42578125" bestFit="1" customWidth="1"/>
    <col min="6" max="6" width="20.28515625" bestFit="1" customWidth="1"/>
    <col min="7" max="7" width="15.42578125" bestFit="1" customWidth="1"/>
    <col min="8" max="8" width="15.42578125" style="8" customWidth="1"/>
    <col min="9" max="9" width="18.5703125" bestFit="1" customWidth="1"/>
    <col min="10" max="10" width="18.42578125" bestFit="1" customWidth="1"/>
    <col min="11" max="11" width="13.5703125" bestFit="1" customWidth="1"/>
    <col min="12" max="12" width="23.42578125" bestFit="1" customWidth="1"/>
    <col min="13" max="13" width="32.85546875" style="13" bestFit="1" customWidth="1"/>
  </cols>
  <sheetData>
    <row r="1" spans="1:13" x14ac:dyDescent="0.25">
      <c r="A1" t="s">
        <v>2</v>
      </c>
      <c r="B1" t="s">
        <v>0</v>
      </c>
      <c r="C1" t="s">
        <v>1</v>
      </c>
      <c r="D1" t="s">
        <v>1028</v>
      </c>
      <c r="E1" t="s">
        <v>1006</v>
      </c>
      <c r="F1" t="s">
        <v>1005</v>
      </c>
      <c r="G1" t="s">
        <v>1007</v>
      </c>
      <c r="H1" s="8" t="s">
        <v>1038</v>
      </c>
      <c r="I1" t="s">
        <v>5</v>
      </c>
      <c r="J1" t="s">
        <v>4</v>
      </c>
      <c r="K1" t="s">
        <v>3</v>
      </c>
      <c r="L1" t="s">
        <v>6</v>
      </c>
      <c r="M1" s="13" t="s">
        <v>7</v>
      </c>
    </row>
    <row r="2" spans="1:13" x14ac:dyDescent="0.25">
      <c r="A2" s="2">
        <v>43830</v>
      </c>
      <c r="B2" s="1" t="s">
        <v>681</v>
      </c>
      <c r="C2" s="1" t="s">
        <v>682</v>
      </c>
      <c r="D2">
        <v>1</v>
      </c>
      <c r="E2">
        <v>853012.72</v>
      </c>
      <c r="F2">
        <v>852921.9</v>
      </c>
      <c r="G2">
        <v>94769.1</v>
      </c>
      <c r="H2" s="8">
        <f>SUM(sales_data[[#This Row],[rand discount]]/sales_data[[#This Row],[total order total]])</f>
        <v>0.11109928114553791</v>
      </c>
      <c r="I2">
        <v>10</v>
      </c>
      <c r="J2">
        <v>90.82</v>
      </c>
      <c r="K2">
        <v>947691</v>
      </c>
      <c r="L2" t="b">
        <v>1</v>
      </c>
      <c r="M2" s="13">
        <v>0.41870000000000002</v>
      </c>
    </row>
    <row r="3" spans="1:13" x14ac:dyDescent="0.25">
      <c r="A3" s="2">
        <v>43805</v>
      </c>
      <c r="B3" s="1" t="s">
        <v>485</v>
      </c>
      <c r="C3" s="1" t="s">
        <v>486</v>
      </c>
      <c r="D3">
        <v>1</v>
      </c>
      <c r="E3">
        <v>736121.5</v>
      </c>
      <c r="F3">
        <v>736028.6</v>
      </c>
      <c r="G3">
        <v>129887.4</v>
      </c>
      <c r="H3" s="8">
        <f>SUM(sales_data[[#This Row],[rand discount]]/sales_data[[#This Row],[total order total]])</f>
        <v>0.17644831729544647</v>
      </c>
      <c r="I3">
        <v>15</v>
      </c>
      <c r="J3">
        <v>92.9</v>
      </c>
      <c r="K3">
        <v>865916</v>
      </c>
      <c r="L3" t="b">
        <v>1</v>
      </c>
      <c r="M3" s="13">
        <v>0.82740000000000002</v>
      </c>
    </row>
    <row r="4" spans="1:13" x14ac:dyDescent="0.25">
      <c r="A4" s="2">
        <v>43534</v>
      </c>
      <c r="B4" s="1" t="s">
        <v>949</v>
      </c>
      <c r="C4" s="1" t="s">
        <v>950</v>
      </c>
      <c r="D4">
        <v>2</v>
      </c>
      <c r="E4">
        <v>504686.82</v>
      </c>
      <c r="F4">
        <v>504624</v>
      </c>
      <c r="G4">
        <v>168208</v>
      </c>
      <c r="H4" s="8">
        <f>SUM(sales_data[[#This Row],[rand discount]]/sales_data[[#This Row],[total order total]])</f>
        <v>0.33329184225575775</v>
      </c>
      <c r="I4">
        <v>25</v>
      </c>
      <c r="J4">
        <v>62.82</v>
      </c>
      <c r="K4">
        <v>672832</v>
      </c>
      <c r="L4" t="b">
        <v>0</v>
      </c>
      <c r="M4" s="13">
        <v>0.28599999999999998</v>
      </c>
    </row>
    <row r="5" spans="1:13" x14ac:dyDescent="0.25">
      <c r="A5" s="2">
        <v>43644</v>
      </c>
      <c r="B5" s="1" t="s">
        <v>151</v>
      </c>
      <c r="C5" s="1" t="s">
        <v>152</v>
      </c>
      <c r="D5">
        <v>1</v>
      </c>
      <c r="E5">
        <v>589729.30000000005</v>
      </c>
      <c r="F5">
        <v>589647.6</v>
      </c>
      <c r="G5">
        <v>65516.4</v>
      </c>
      <c r="H5" s="8">
        <f>SUM(sales_data[[#This Row],[rand discount]]/sales_data[[#This Row],[total order total]])</f>
        <v>0.11109571798450577</v>
      </c>
      <c r="I5">
        <v>10</v>
      </c>
      <c r="J5">
        <v>81.7</v>
      </c>
      <c r="K5">
        <v>655164</v>
      </c>
      <c r="L5" t="b">
        <v>1</v>
      </c>
      <c r="M5" s="13">
        <v>1.6175999999999999</v>
      </c>
    </row>
    <row r="6" spans="1:13" x14ac:dyDescent="0.25">
      <c r="A6" s="2">
        <v>43514</v>
      </c>
      <c r="B6" s="1" t="s">
        <v>802</v>
      </c>
      <c r="C6" s="1" t="s">
        <v>803</v>
      </c>
      <c r="D6">
        <v>3</v>
      </c>
      <c r="E6">
        <v>621327.23</v>
      </c>
      <c r="F6">
        <v>621261.05000000005</v>
      </c>
      <c r="G6">
        <v>32697.95</v>
      </c>
      <c r="H6" s="8">
        <f>SUM(sales_data[[#This Row],[rand discount]]/sales_data[[#This Row],[total order total]])</f>
        <v>5.2625972951483233E-2</v>
      </c>
      <c r="I6">
        <v>5</v>
      </c>
      <c r="J6">
        <v>66.180000000000007</v>
      </c>
      <c r="K6">
        <v>653959</v>
      </c>
      <c r="L6" t="b">
        <v>0</v>
      </c>
      <c r="M6" s="13">
        <v>0.15809999999999999</v>
      </c>
    </row>
    <row r="7" spans="1:13" x14ac:dyDescent="0.25">
      <c r="A7" s="2">
        <v>43693</v>
      </c>
      <c r="B7" s="1" t="s">
        <v>589</v>
      </c>
      <c r="C7" s="1" t="s">
        <v>590</v>
      </c>
      <c r="D7">
        <v>1</v>
      </c>
      <c r="E7">
        <v>567457.91</v>
      </c>
      <c r="F7">
        <v>567378</v>
      </c>
      <c r="G7">
        <v>29862</v>
      </c>
      <c r="H7" s="8">
        <f>SUM(sales_data[[#This Row],[rand discount]]/sales_data[[#This Row],[total order total]])</f>
        <v>5.2624167314893888E-2</v>
      </c>
      <c r="I7">
        <v>5</v>
      </c>
      <c r="J7">
        <v>79.91</v>
      </c>
      <c r="K7">
        <v>597240</v>
      </c>
      <c r="L7" t="b">
        <v>1</v>
      </c>
      <c r="M7" s="13">
        <v>1.2716000000000001</v>
      </c>
    </row>
    <row r="8" spans="1:13" x14ac:dyDescent="0.25">
      <c r="A8" s="2">
        <v>43728</v>
      </c>
      <c r="B8" s="1" t="s">
        <v>637</v>
      </c>
      <c r="C8" s="1" t="s">
        <v>638</v>
      </c>
      <c r="D8">
        <v>3</v>
      </c>
      <c r="E8">
        <v>346389.31</v>
      </c>
      <c r="F8">
        <v>346302</v>
      </c>
      <c r="G8">
        <v>115434</v>
      </c>
      <c r="H8" s="8">
        <f>SUM(sales_data[[#This Row],[rand discount]]/sales_data[[#This Row],[total order total]])</f>
        <v>0.33324931418928605</v>
      </c>
      <c r="I8">
        <v>25</v>
      </c>
      <c r="J8">
        <v>87.31</v>
      </c>
      <c r="K8">
        <v>461736</v>
      </c>
      <c r="L8" t="b">
        <v>0</v>
      </c>
      <c r="M8" s="13">
        <v>2.0114999999999998</v>
      </c>
    </row>
    <row r="9" spans="1:13" x14ac:dyDescent="0.25">
      <c r="A9" s="2">
        <v>43818</v>
      </c>
      <c r="B9" s="1" t="s">
        <v>915</v>
      </c>
      <c r="C9" s="1" t="s">
        <v>916</v>
      </c>
      <c r="D9">
        <v>1</v>
      </c>
      <c r="E9">
        <v>386825.88</v>
      </c>
      <c r="F9">
        <v>386746.6</v>
      </c>
      <c r="G9">
        <v>68249.399999999994</v>
      </c>
      <c r="H9" s="8">
        <f>SUM(sales_data[[#This Row],[rand discount]]/sales_data[[#This Row],[total order total]])</f>
        <v>0.17643442057186037</v>
      </c>
      <c r="I9">
        <v>15</v>
      </c>
      <c r="J9">
        <v>79.28</v>
      </c>
      <c r="K9">
        <v>454996</v>
      </c>
      <c r="L9" t="b">
        <v>0</v>
      </c>
      <c r="M9" s="13">
        <v>1.2871999999999999</v>
      </c>
    </row>
    <row r="10" spans="1:13" x14ac:dyDescent="0.25">
      <c r="A10" s="2">
        <v>43684</v>
      </c>
      <c r="B10" s="1" t="s">
        <v>995</v>
      </c>
      <c r="C10" s="1" t="s">
        <v>996</v>
      </c>
      <c r="D10">
        <v>2</v>
      </c>
      <c r="E10">
        <v>348158.1</v>
      </c>
      <c r="F10">
        <v>348098.4</v>
      </c>
      <c r="G10">
        <v>38677.599999999999</v>
      </c>
      <c r="H10" s="8">
        <f>SUM(sales_data[[#This Row],[rand discount]]/sales_data[[#This Row],[total order total]])</f>
        <v>0.11109205846424369</v>
      </c>
      <c r="I10">
        <v>10</v>
      </c>
      <c r="J10">
        <v>59.7</v>
      </c>
      <c r="K10">
        <v>386776</v>
      </c>
      <c r="L10" t="b">
        <v>1</v>
      </c>
      <c r="M10" s="13">
        <v>0.12820000000000001</v>
      </c>
    </row>
    <row r="11" spans="1:13" x14ac:dyDescent="0.25">
      <c r="A11" s="2">
        <v>43793</v>
      </c>
      <c r="B11" s="1" t="s">
        <v>735</v>
      </c>
      <c r="C11" s="1" t="s">
        <v>736</v>
      </c>
      <c r="D11">
        <v>1</v>
      </c>
      <c r="E11">
        <v>83920.38</v>
      </c>
      <c r="F11">
        <v>83821.899999999994</v>
      </c>
      <c r="G11">
        <v>14792.1</v>
      </c>
      <c r="H11" s="8">
        <f>SUM(sales_data[[#This Row],[rand discount]]/sales_data[[#This Row],[total order total]])</f>
        <v>0.17626350119005657</v>
      </c>
      <c r="I11">
        <v>15</v>
      </c>
      <c r="J11">
        <v>98.48</v>
      </c>
      <c r="K11">
        <v>98614</v>
      </c>
      <c r="L11" t="b">
        <v>1</v>
      </c>
      <c r="M11" s="13">
        <v>0.64949999999999997</v>
      </c>
    </row>
    <row r="12" spans="1:13" x14ac:dyDescent="0.25">
      <c r="A12" s="2">
        <v>43478</v>
      </c>
      <c r="B12" s="1" t="s">
        <v>609</v>
      </c>
      <c r="C12" s="1" t="s">
        <v>610</v>
      </c>
      <c r="D12">
        <v>2</v>
      </c>
      <c r="E12">
        <v>72366.259999999995</v>
      </c>
      <c r="F12">
        <v>72288.75</v>
      </c>
      <c r="G12">
        <v>24096.25</v>
      </c>
      <c r="H12" s="8">
        <f>SUM(sales_data[[#This Row],[rand discount]]/sales_data[[#This Row],[total order total]])</f>
        <v>0.33297630691429958</v>
      </c>
      <c r="I12">
        <v>25</v>
      </c>
      <c r="J12">
        <v>77.510000000000005</v>
      </c>
      <c r="K12">
        <v>96385</v>
      </c>
      <c r="L12" t="b">
        <v>0</v>
      </c>
      <c r="M12" s="13">
        <v>1.0589999999999999</v>
      </c>
    </row>
    <row r="13" spans="1:13" x14ac:dyDescent="0.25">
      <c r="A13" s="2">
        <v>43488</v>
      </c>
      <c r="B13" s="1" t="s">
        <v>815</v>
      </c>
      <c r="C13" s="1" t="s">
        <v>816</v>
      </c>
      <c r="D13">
        <v>1</v>
      </c>
      <c r="E13">
        <v>83319.62</v>
      </c>
      <c r="F13">
        <v>83240.899999999994</v>
      </c>
      <c r="G13">
        <v>4381.1000000000004</v>
      </c>
      <c r="H13" s="8">
        <f>SUM(sales_data[[#This Row],[rand discount]]/sales_data[[#This Row],[total order total]])</f>
        <v>5.2581852869708248E-2</v>
      </c>
      <c r="I13">
        <v>5</v>
      </c>
      <c r="J13">
        <v>78.72</v>
      </c>
      <c r="K13">
        <v>87622</v>
      </c>
      <c r="L13" t="b">
        <v>0</v>
      </c>
      <c r="M13" s="13">
        <v>1.3740000000000001</v>
      </c>
    </row>
    <row r="14" spans="1:13" x14ac:dyDescent="0.25">
      <c r="A14" s="2">
        <v>43499</v>
      </c>
      <c r="B14" s="1" t="s">
        <v>323</v>
      </c>
      <c r="C14" s="1" t="s">
        <v>324</v>
      </c>
      <c r="D14">
        <v>1</v>
      </c>
      <c r="E14">
        <v>69777.7</v>
      </c>
      <c r="F14">
        <v>69685</v>
      </c>
      <c r="G14">
        <v>0</v>
      </c>
      <c r="H14" s="8">
        <f>SUM(sales_data[[#This Row],[rand discount]]/sales_data[[#This Row],[total order total]])</f>
        <v>0</v>
      </c>
      <c r="I14">
        <v>0</v>
      </c>
      <c r="J14">
        <v>92.7</v>
      </c>
      <c r="K14">
        <v>69685</v>
      </c>
      <c r="L14" t="b">
        <v>1</v>
      </c>
      <c r="M14" s="13">
        <v>0.94750000000000001</v>
      </c>
    </row>
    <row r="15" spans="1:13" x14ac:dyDescent="0.25">
      <c r="A15" s="2">
        <v>43740</v>
      </c>
      <c r="B15" s="1" t="s">
        <v>625</v>
      </c>
      <c r="C15" s="1" t="s">
        <v>626</v>
      </c>
      <c r="D15">
        <v>1</v>
      </c>
      <c r="E15">
        <v>47732.18</v>
      </c>
      <c r="F15">
        <v>47625</v>
      </c>
      <c r="G15">
        <v>15875</v>
      </c>
      <c r="H15" s="8">
        <f>SUM(sales_data[[#This Row],[rand discount]]/sales_data[[#This Row],[total order total]])</f>
        <v>0.33258485156135753</v>
      </c>
      <c r="I15">
        <v>25</v>
      </c>
      <c r="J15">
        <v>107.18</v>
      </c>
      <c r="K15">
        <v>63500</v>
      </c>
      <c r="L15" t="b">
        <v>1</v>
      </c>
      <c r="M15" s="13">
        <v>1.4855</v>
      </c>
    </row>
    <row r="16" spans="1:13" x14ac:dyDescent="0.25">
      <c r="A16" s="2">
        <v>43518</v>
      </c>
      <c r="B16" s="1" t="s">
        <v>145</v>
      </c>
      <c r="C16" s="1" t="s">
        <v>146</v>
      </c>
      <c r="D16">
        <v>1</v>
      </c>
      <c r="E16">
        <v>52455.54</v>
      </c>
      <c r="F16">
        <v>52376.15</v>
      </c>
      <c r="G16">
        <v>9242.85</v>
      </c>
      <c r="H16" s="8">
        <f>SUM(sales_data[[#This Row],[rand discount]]/sales_data[[#This Row],[total order total]])</f>
        <v>0.17620350491101608</v>
      </c>
      <c r="I16">
        <v>15</v>
      </c>
      <c r="J16">
        <v>79.39</v>
      </c>
      <c r="K16">
        <v>61619</v>
      </c>
      <c r="L16" t="b">
        <v>0</v>
      </c>
      <c r="M16" s="13">
        <v>1.452</v>
      </c>
    </row>
    <row r="17" spans="1:13" x14ac:dyDescent="0.25">
      <c r="A17" s="2">
        <v>43703</v>
      </c>
      <c r="B17" s="1" t="s">
        <v>121</v>
      </c>
      <c r="C17" s="1" t="s">
        <v>122</v>
      </c>
      <c r="D17">
        <v>2</v>
      </c>
      <c r="E17">
        <v>41406.93</v>
      </c>
      <c r="F17">
        <v>41344</v>
      </c>
      <c r="G17">
        <v>2176</v>
      </c>
      <c r="H17" s="8">
        <f>SUM(sales_data[[#This Row],[rand discount]]/sales_data[[#This Row],[total order total]])</f>
        <v>5.2551589794268737E-2</v>
      </c>
      <c r="I17">
        <v>5</v>
      </c>
      <c r="J17">
        <v>62.93</v>
      </c>
      <c r="K17">
        <v>43520</v>
      </c>
      <c r="L17" t="b">
        <v>1</v>
      </c>
      <c r="M17" s="13">
        <v>0.89490000000000003</v>
      </c>
    </row>
    <row r="18" spans="1:13" x14ac:dyDescent="0.25">
      <c r="A18" s="2">
        <v>43584</v>
      </c>
      <c r="B18" s="1" t="s">
        <v>788</v>
      </c>
      <c r="C18" s="1" t="s">
        <v>789</v>
      </c>
      <c r="D18">
        <v>1</v>
      </c>
      <c r="E18">
        <v>37649.94</v>
      </c>
      <c r="F18">
        <v>37570</v>
      </c>
      <c r="G18">
        <v>0</v>
      </c>
      <c r="H18" s="8">
        <f>SUM(sales_data[[#This Row],[rand discount]]/sales_data[[#This Row],[total order total]])</f>
        <v>0</v>
      </c>
      <c r="I18">
        <v>0</v>
      </c>
      <c r="J18">
        <v>79.94</v>
      </c>
      <c r="K18">
        <v>37570</v>
      </c>
      <c r="L18" t="b">
        <v>1</v>
      </c>
      <c r="M18" s="13">
        <v>1.524</v>
      </c>
    </row>
    <row r="19" spans="1:13" x14ac:dyDescent="0.25">
      <c r="A19" s="2">
        <v>43629</v>
      </c>
      <c r="B19" s="1" t="s">
        <v>133</v>
      </c>
      <c r="C19" s="1" t="s">
        <v>134</v>
      </c>
      <c r="D19">
        <v>3</v>
      </c>
      <c r="E19">
        <v>37215.32</v>
      </c>
      <c r="F19">
        <v>37150</v>
      </c>
      <c r="G19">
        <v>0</v>
      </c>
      <c r="H19" s="8">
        <f>SUM(sales_data[[#This Row],[rand discount]]/sales_data[[#This Row],[total order total]])</f>
        <v>0</v>
      </c>
      <c r="I19">
        <v>0</v>
      </c>
      <c r="J19">
        <v>65.319999999999993</v>
      </c>
      <c r="K19">
        <v>37150</v>
      </c>
      <c r="L19" t="b">
        <v>1</v>
      </c>
      <c r="M19" s="13">
        <v>1.2762</v>
      </c>
    </row>
    <row r="20" spans="1:13" x14ac:dyDescent="0.25">
      <c r="A20" s="2">
        <v>43469</v>
      </c>
      <c r="B20" s="1" t="s">
        <v>167</v>
      </c>
      <c r="C20" s="1" t="s">
        <v>168</v>
      </c>
      <c r="D20">
        <v>3</v>
      </c>
      <c r="E20">
        <v>31758.080000000002</v>
      </c>
      <c r="F20">
        <v>31684.5</v>
      </c>
      <c r="G20">
        <v>3520.5</v>
      </c>
      <c r="H20" s="8">
        <f>SUM(sales_data[[#This Row],[rand discount]]/sales_data[[#This Row],[total order total]])</f>
        <v>0.11085367881181733</v>
      </c>
      <c r="I20">
        <v>10</v>
      </c>
      <c r="J20">
        <v>73.58</v>
      </c>
      <c r="K20">
        <v>35205</v>
      </c>
      <c r="L20" t="b">
        <v>1</v>
      </c>
      <c r="M20" s="13">
        <v>0.46239999999999998</v>
      </c>
    </row>
    <row r="21" spans="1:13" x14ac:dyDescent="0.25">
      <c r="A21" s="2">
        <v>43814</v>
      </c>
      <c r="B21" s="1" t="s">
        <v>913</v>
      </c>
      <c r="C21" s="1" t="s">
        <v>914</v>
      </c>
      <c r="D21">
        <v>1</v>
      </c>
      <c r="E21">
        <v>29977.119999999999</v>
      </c>
      <c r="F21">
        <v>29903</v>
      </c>
      <c r="G21">
        <v>5277</v>
      </c>
      <c r="H21" s="8">
        <f>SUM(sales_data[[#This Row],[rand discount]]/sales_data[[#This Row],[total order total]])</f>
        <v>0.17603425545882995</v>
      </c>
      <c r="I21">
        <v>15</v>
      </c>
      <c r="J21">
        <v>74.12</v>
      </c>
      <c r="K21">
        <v>35180</v>
      </c>
      <c r="L21" t="b">
        <v>0</v>
      </c>
      <c r="M21" s="13">
        <v>1.0279</v>
      </c>
    </row>
    <row r="22" spans="1:13" x14ac:dyDescent="0.25">
      <c r="A22" s="2">
        <v>43487</v>
      </c>
      <c r="B22" s="1" t="s">
        <v>769</v>
      </c>
      <c r="C22" s="1" t="s">
        <v>470</v>
      </c>
      <c r="D22">
        <v>2</v>
      </c>
      <c r="E22">
        <v>31053.7</v>
      </c>
      <c r="F22">
        <v>30960</v>
      </c>
      <c r="G22">
        <v>3440</v>
      </c>
      <c r="H22" s="8">
        <f>SUM(sales_data[[#This Row],[rand discount]]/sales_data[[#This Row],[total order total]])</f>
        <v>0.110775849576701</v>
      </c>
      <c r="I22">
        <v>10</v>
      </c>
      <c r="J22">
        <v>93.7</v>
      </c>
      <c r="K22">
        <v>34400</v>
      </c>
      <c r="L22" t="b">
        <v>1</v>
      </c>
      <c r="M22" s="13">
        <v>0.76859999999999995</v>
      </c>
    </row>
    <row r="23" spans="1:13" x14ac:dyDescent="0.25">
      <c r="A23" s="2">
        <v>43650</v>
      </c>
      <c r="B23" s="1" t="s">
        <v>979</v>
      </c>
      <c r="C23" s="1" t="s">
        <v>980</v>
      </c>
      <c r="D23">
        <v>1</v>
      </c>
      <c r="E23">
        <v>33947.06</v>
      </c>
      <c r="F23">
        <v>33870</v>
      </c>
      <c r="G23">
        <v>0</v>
      </c>
      <c r="H23" s="8">
        <f>SUM(sales_data[[#This Row],[rand discount]]/sales_data[[#This Row],[total order total]])</f>
        <v>0</v>
      </c>
      <c r="I23">
        <v>0</v>
      </c>
      <c r="J23">
        <v>77.06</v>
      </c>
      <c r="K23">
        <v>33870</v>
      </c>
      <c r="L23" t="b">
        <v>1</v>
      </c>
      <c r="M23" s="13">
        <v>0.88480000000000003</v>
      </c>
    </row>
    <row r="24" spans="1:13" x14ac:dyDescent="0.25">
      <c r="A24" s="2">
        <v>43657</v>
      </c>
      <c r="B24" s="1" t="s">
        <v>275</v>
      </c>
      <c r="C24" s="1" t="s">
        <v>276</v>
      </c>
      <c r="D24">
        <v>2</v>
      </c>
      <c r="E24">
        <v>25142.73</v>
      </c>
      <c r="F24">
        <v>25080</v>
      </c>
      <c r="G24">
        <v>8360</v>
      </c>
      <c r="H24" s="8">
        <f>SUM(sales_data[[#This Row],[rand discount]]/sales_data[[#This Row],[total order total]])</f>
        <v>0.33250168140054798</v>
      </c>
      <c r="I24">
        <v>25</v>
      </c>
      <c r="J24">
        <v>62.73</v>
      </c>
      <c r="K24">
        <v>33440</v>
      </c>
      <c r="L24" t="b">
        <v>1</v>
      </c>
      <c r="M24" s="13">
        <v>0.9173</v>
      </c>
    </row>
    <row r="25" spans="1:13" x14ac:dyDescent="0.25">
      <c r="A25" s="2">
        <v>43586</v>
      </c>
      <c r="B25" s="1" t="s">
        <v>199</v>
      </c>
      <c r="C25" s="1" t="s">
        <v>200</v>
      </c>
      <c r="D25">
        <v>3</v>
      </c>
      <c r="E25">
        <v>27901.05</v>
      </c>
      <c r="F25">
        <v>27833.25</v>
      </c>
      <c r="G25">
        <v>4911.75</v>
      </c>
      <c r="H25" s="8">
        <f>SUM(sales_data[[#This Row],[rand discount]]/sales_data[[#This Row],[total order total]])</f>
        <v>0.17604176186917697</v>
      </c>
      <c r="I25">
        <v>15</v>
      </c>
      <c r="J25">
        <v>67.8</v>
      </c>
      <c r="K25">
        <v>32745</v>
      </c>
      <c r="L25" t="b">
        <v>0</v>
      </c>
      <c r="M25" s="13">
        <v>1.4179999999999999</v>
      </c>
    </row>
    <row r="26" spans="1:13" x14ac:dyDescent="0.25">
      <c r="A26" s="2">
        <v>43515</v>
      </c>
      <c r="B26" s="1" t="s">
        <v>897</v>
      </c>
      <c r="C26" s="1" t="s">
        <v>898</v>
      </c>
      <c r="D26">
        <v>2</v>
      </c>
      <c r="E26">
        <v>24352.3</v>
      </c>
      <c r="F26">
        <v>24255</v>
      </c>
      <c r="G26">
        <v>8085</v>
      </c>
      <c r="H26" s="8">
        <f>SUM(sales_data[[#This Row],[rand discount]]/sales_data[[#This Row],[total order total]])</f>
        <v>0.33200149472534424</v>
      </c>
      <c r="I26">
        <v>25</v>
      </c>
      <c r="J26">
        <v>97.3</v>
      </c>
      <c r="K26">
        <v>32340</v>
      </c>
      <c r="L26" t="b">
        <v>1</v>
      </c>
      <c r="M26" s="13">
        <v>1.2170000000000001</v>
      </c>
    </row>
    <row r="27" spans="1:13" x14ac:dyDescent="0.25">
      <c r="A27" s="2">
        <v>43564</v>
      </c>
      <c r="B27" s="1" t="s">
        <v>38</v>
      </c>
      <c r="C27" s="1" t="s">
        <v>39</v>
      </c>
      <c r="D27">
        <v>2</v>
      </c>
      <c r="E27">
        <v>31979.78</v>
      </c>
      <c r="F27">
        <v>31900</v>
      </c>
      <c r="G27">
        <v>0</v>
      </c>
      <c r="H27" s="8">
        <f>SUM(sales_data[[#This Row],[rand discount]]/sales_data[[#This Row],[total order total]])</f>
        <v>0</v>
      </c>
      <c r="I27">
        <v>0</v>
      </c>
      <c r="J27">
        <v>79.78</v>
      </c>
      <c r="K27">
        <v>31900</v>
      </c>
      <c r="L27" t="b">
        <v>1</v>
      </c>
      <c r="M27" s="13">
        <v>66.648300000000006</v>
      </c>
    </row>
    <row r="28" spans="1:13" x14ac:dyDescent="0.25">
      <c r="A28" s="2">
        <v>43680</v>
      </c>
      <c r="B28" s="1" t="s">
        <v>30</v>
      </c>
      <c r="C28" s="1" t="s">
        <v>31</v>
      </c>
      <c r="D28">
        <v>3</v>
      </c>
      <c r="E28">
        <v>31973.25</v>
      </c>
      <c r="F28">
        <v>31895</v>
      </c>
      <c r="G28">
        <v>0</v>
      </c>
      <c r="H28" s="8">
        <f>SUM(sales_data[[#This Row],[rand discount]]/sales_data[[#This Row],[total order total]])</f>
        <v>0</v>
      </c>
      <c r="I28">
        <v>0</v>
      </c>
      <c r="J28">
        <v>78.25</v>
      </c>
      <c r="K28">
        <v>31895</v>
      </c>
      <c r="L28" t="b">
        <v>1</v>
      </c>
      <c r="M28" s="13">
        <v>1.1919</v>
      </c>
    </row>
    <row r="29" spans="1:13" x14ac:dyDescent="0.25">
      <c r="A29" s="2">
        <v>43671</v>
      </c>
      <c r="B29" s="1" t="s">
        <v>573</v>
      </c>
      <c r="C29" s="1" t="s">
        <v>574</v>
      </c>
      <c r="D29">
        <v>1</v>
      </c>
      <c r="E29">
        <v>30226.25</v>
      </c>
      <c r="F29">
        <v>30162.5</v>
      </c>
      <c r="G29">
        <v>1587.5</v>
      </c>
      <c r="H29" s="8">
        <f>SUM(sales_data[[#This Row],[rand discount]]/sales_data[[#This Row],[total order total]])</f>
        <v>5.2520574004383605E-2</v>
      </c>
      <c r="I29">
        <v>5</v>
      </c>
      <c r="J29">
        <v>63.75</v>
      </c>
      <c r="K29">
        <v>31750</v>
      </c>
      <c r="L29" t="b">
        <v>0</v>
      </c>
      <c r="M29" s="13">
        <v>0.86229999999999996</v>
      </c>
    </row>
    <row r="30" spans="1:13" x14ac:dyDescent="0.25">
      <c r="A30" s="2">
        <v>43636</v>
      </c>
      <c r="B30" s="1" t="s">
        <v>882</v>
      </c>
      <c r="C30" s="1" t="s">
        <v>883</v>
      </c>
      <c r="D30">
        <v>1</v>
      </c>
      <c r="E30">
        <v>29631.23</v>
      </c>
      <c r="F30">
        <v>29554.5</v>
      </c>
      <c r="G30">
        <v>1555.5</v>
      </c>
      <c r="H30" s="8">
        <f>SUM(sales_data[[#This Row],[rand discount]]/sales_data[[#This Row],[total order total]])</f>
        <v>5.2495289598170583E-2</v>
      </c>
      <c r="I30">
        <v>5</v>
      </c>
      <c r="J30">
        <v>76.73</v>
      </c>
      <c r="K30">
        <v>31110</v>
      </c>
      <c r="L30" t="b">
        <v>1</v>
      </c>
      <c r="M30" s="13">
        <v>0.94650000000000001</v>
      </c>
    </row>
    <row r="31" spans="1:13" x14ac:dyDescent="0.25">
      <c r="A31" s="2">
        <v>43543</v>
      </c>
      <c r="B31" s="1" t="s">
        <v>977</v>
      </c>
      <c r="C31" s="1" t="s">
        <v>978</v>
      </c>
      <c r="D31">
        <v>3</v>
      </c>
      <c r="E31">
        <v>29493.37</v>
      </c>
      <c r="F31">
        <v>29440.5</v>
      </c>
      <c r="G31">
        <v>1549.5</v>
      </c>
      <c r="H31" s="8">
        <f>SUM(sales_data[[#This Row],[rand discount]]/sales_data[[#This Row],[total order total]])</f>
        <v>5.2537231248921366E-2</v>
      </c>
      <c r="I31">
        <v>5</v>
      </c>
      <c r="J31">
        <v>52.87</v>
      </c>
      <c r="K31">
        <v>30990</v>
      </c>
      <c r="L31" t="b">
        <v>0</v>
      </c>
      <c r="M31" s="13">
        <v>1.175</v>
      </c>
    </row>
    <row r="32" spans="1:13" x14ac:dyDescent="0.25">
      <c r="A32" s="2">
        <v>43538</v>
      </c>
      <c r="B32" s="1" t="s">
        <v>724</v>
      </c>
      <c r="C32" s="1" t="s">
        <v>725</v>
      </c>
      <c r="D32">
        <v>1</v>
      </c>
      <c r="E32">
        <v>23050.51</v>
      </c>
      <c r="F32">
        <v>22987.5</v>
      </c>
      <c r="G32">
        <v>7662.5</v>
      </c>
      <c r="H32" s="8">
        <f>SUM(sales_data[[#This Row],[rand discount]]/sales_data[[#This Row],[total order total]])</f>
        <v>0.33242214597421055</v>
      </c>
      <c r="I32">
        <v>25</v>
      </c>
      <c r="J32">
        <v>63.01</v>
      </c>
      <c r="K32">
        <v>30650</v>
      </c>
      <c r="L32" t="b">
        <v>1</v>
      </c>
      <c r="M32" s="13">
        <v>0.75149999999999995</v>
      </c>
    </row>
    <row r="33" spans="1:13" x14ac:dyDescent="0.25">
      <c r="A33" s="2">
        <v>43488</v>
      </c>
      <c r="B33" s="1" t="s">
        <v>937</v>
      </c>
      <c r="C33" s="1" t="s">
        <v>938</v>
      </c>
      <c r="D33">
        <v>3</v>
      </c>
      <c r="E33">
        <v>26021.13</v>
      </c>
      <c r="F33">
        <v>25942</v>
      </c>
      <c r="G33">
        <v>4578</v>
      </c>
      <c r="H33" s="8">
        <f>SUM(sales_data[[#This Row],[rand discount]]/sales_data[[#This Row],[total order total]])</f>
        <v>0.1759339429148542</v>
      </c>
      <c r="I33">
        <v>15</v>
      </c>
      <c r="J33">
        <v>79.13</v>
      </c>
      <c r="K33">
        <v>30520</v>
      </c>
      <c r="L33" t="b">
        <v>1</v>
      </c>
      <c r="M33" s="13">
        <v>1.0943000000000001</v>
      </c>
    </row>
    <row r="34" spans="1:13" x14ac:dyDescent="0.25">
      <c r="A34" s="2">
        <v>43737</v>
      </c>
      <c r="B34" s="1" t="s">
        <v>319</v>
      </c>
      <c r="C34" s="1" t="s">
        <v>320</v>
      </c>
      <c r="D34">
        <v>2</v>
      </c>
      <c r="E34">
        <v>25719.55</v>
      </c>
      <c r="F34">
        <v>25619</v>
      </c>
      <c r="G34">
        <v>4521</v>
      </c>
      <c r="H34" s="8">
        <f>SUM(sales_data[[#This Row],[rand discount]]/sales_data[[#This Row],[total order total]])</f>
        <v>0.17578068045514017</v>
      </c>
      <c r="I34">
        <v>15</v>
      </c>
      <c r="J34">
        <v>100.55</v>
      </c>
      <c r="K34">
        <v>30140</v>
      </c>
      <c r="L34" t="b">
        <v>1</v>
      </c>
      <c r="M34" s="13">
        <v>0.75190000000000001</v>
      </c>
    </row>
    <row r="35" spans="1:13" x14ac:dyDescent="0.25">
      <c r="A35" s="2">
        <v>43820</v>
      </c>
      <c r="B35" s="1" t="s">
        <v>107</v>
      </c>
      <c r="C35" s="1" t="s">
        <v>108</v>
      </c>
      <c r="D35">
        <v>1</v>
      </c>
      <c r="E35">
        <v>28195.73</v>
      </c>
      <c r="F35">
        <v>28101</v>
      </c>
      <c r="G35">
        <v>1479</v>
      </c>
      <c r="H35" s="8">
        <f>SUM(sales_data[[#This Row],[rand discount]]/sales_data[[#This Row],[total order total]])</f>
        <v>5.2454751127209688E-2</v>
      </c>
      <c r="I35">
        <v>5</v>
      </c>
      <c r="J35">
        <v>94.73</v>
      </c>
      <c r="K35">
        <v>29580</v>
      </c>
      <c r="L35" t="b">
        <v>1</v>
      </c>
      <c r="M35" s="13">
        <v>0.84499999999999997</v>
      </c>
    </row>
    <row r="36" spans="1:13" x14ac:dyDescent="0.25">
      <c r="A36" s="2">
        <v>43796</v>
      </c>
      <c r="B36" s="1" t="s">
        <v>165</v>
      </c>
      <c r="C36" s="1" t="s">
        <v>166</v>
      </c>
      <c r="D36">
        <v>2</v>
      </c>
      <c r="E36">
        <v>28056.18</v>
      </c>
      <c r="F36">
        <v>27996.5</v>
      </c>
      <c r="G36">
        <v>1473.5</v>
      </c>
      <c r="H36" s="8">
        <f>SUM(sales_data[[#This Row],[rand discount]]/sales_data[[#This Row],[total order total]])</f>
        <v>5.2519623127596129E-2</v>
      </c>
      <c r="I36">
        <v>5</v>
      </c>
      <c r="J36">
        <v>59.68</v>
      </c>
      <c r="K36">
        <v>29470</v>
      </c>
      <c r="L36" t="b">
        <v>0</v>
      </c>
      <c r="M36" s="13">
        <v>0.87629999999999997</v>
      </c>
    </row>
    <row r="37" spans="1:13" x14ac:dyDescent="0.25">
      <c r="A37" s="2">
        <v>43578</v>
      </c>
      <c r="B37" s="1" t="s">
        <v>690</v>
      </c>
      <c r="C37" s="1" t="s">
        <v>691</v>
      </c>
      <c r="D37">
        <v>2</v>
      </c>
      <c r="E37">
        <v>27868.95</v>
      </c>
      <c r="F37">
        <v>27787.5</v>
      </c>
      <c r="G37">
        <v>1462.5</v>
      </c>
      <c r="H37" s="8">
        <f>SUM(sales_data[[#This Row],[rand discount]]/sales_data[[#This Row],[total order total]])</f>
        <v>5.2477757504319322E-2</v>
      </c>
      <c r="I37">
        <v>5</v>
      </c>
      <c r="J37">
        <v>81.45</v>
      </c>
      <c r="K37">
        <v>29250</v>
      </c>
      <c r="L37" t="b">
        <v>1</v>
      </c>
      <c r="M37" s="13">
        <v>1.1191</v>
      </c>
    </row>
    <row r="38" spans="1:13" x14ac:dyDescent="0.25">
      <c r="A38" s="2">
        <v>43522</v>
      </c>
      <c r="B38" s="1" t="s">
        <v>657</v>
      </c>
      <c r="C38" s="1" t="s">
        <v>658</v>
      </c>
      <c r="D38">
        <v>3</v>
      </c>
      <c r="E38">
        <v>21969.68</v>
      </c>
      <c r="F38">
        <v>21896.25</v>
      </c>
      <c r="G38">
        <v>7298.75</v>
      </c>
      <c r="H38" s="8">
        <f>SUM(sales_data[[#This Row],[rand discount]]/sales_data[[#This Row],[total order total]])</f>
        <v>0.33221922212795091</v>
      </c>
      <c r="I38">
        <v>25</v>
      </c>
      <c r="J38">
        <v>73.430000000000007</v>
      </c>
      <c r="K38">
        <v>29195</v>
      </c>
      <c r="L38" t="b">
        <v>0</v>
      </c>
      <c r="M38" s="13">
        <v>0.86460000000000004</v>
      </c>
    </row>
    <row r="39" spans="1:13" x14ac:dyDescent="0.25">
      <c r="A39" s="2">
        <v>43632</v>
      </c>
      <c r="B39" s="1" t="s">
        <v>261</v>
      </c>
      <c r="C39" s="1" t="s">
        <v>262</v>
      </c>
      <c r="D39">
        <v>2</v>
      </c>
      <c r="E39">
        <v>25499.39</v>
      </c>
      <c r="F39">
        <v>25434</v>
      </c>
      <c r="G39">
        <v>2826</v>
      </c>
      <c r="H39" s="8">
        <f>SUM(sales_data[[#This Row],[rand discount]]/sales_data[[#This Row],[total order total]])</f>
        <v>0.1108261805478484</v>
      </c>
      <c r="I39">
        <v>10</v>
      </c>
      <c r="J39">
        <v>65.39</v>
      </c>
      <c r="K39">
        <v>28260</v>
      </c>
      <c r="L39" t="b">
        <v>1</v>
      </c>
      <c r="M39" s="13">
        <v>1.1745000000000001</v>
      </c>
    </row>
    <row r="40" spans="1:13" x14ac:dyDescent="0.25">
      <c r="A40" s="2">
        <v>43526</v>
      </c>
      <c r="B40" s="1" t="s">
        <v>473</v>
      </c>
      <c r="C40" s="1" t="s">
        <v>474</v>
      </c>
      <c r="D40">
        <v>2</v>
      </c>
      <c r="E40">
        <v>21271.97</v>
      </c>
      <c r="F40">
        <v>21191.25</v>
      </c>
      <c r="G40">
        <v>7063.75</v>
      </c>
      <c r="H40" s="8">
        <f>SUM(sales_data[[#This Row],[rand discount]]/sales_data[[#This Row],[total order total]])</f>
        <v>0.33206844500062754</v>
      </c>
      <c r="I40">
        <v>25</v>
      </c>
      <c r="J40">
        <v>80.72</v>
      </c>
      <c r="K40">
        <v>28255</v>
      </c>
      <c r="L40" t="b">
        <v>1</v>
      </c>
      <c r="M40" s="13">
        <v>1.3443000000000001</v>
      </c>
    </row>
    <row r="41" spans="1:13" x14ac:dyDescent="0.25">
      <c r="A41" s="2">
        <v>43505</v>
      </c>
      <c r="B41" s="1" t="s">
        <v>467</v>
      </c>
      <c r="C41" s="1" t="s">
        <v>468</v>
      </c>
      <c r="D41">
        <v>1</v>
      </c>
      <c r="E41">
        <v>21008.16</v>
      </c>
      <c r="F41">
        <v>20917.5</v>
      </c>
      <c r="G41">
        <v>6972.5</v>
      </c>
      <c r="H41" s="8">
        <f>SUM(sales_data[[#This Row],[rand discount]]/sales_data[[#This Row],[total order total]])</f>
        <v>0.33189484466988067</v>
      </c>
      <c r="I41">
        <v>25</v>
      </c>
      <c r="J41">
        <v>90.66</v>
      </c>
      <c r="K41">
        <v>27890</v>
      </c>
      <c r="L41" t="b">
        <v>1</v>
      </c>
      <c r="M41" s="13">
        <v>0.6714</v>
      </c>
    </row>
    <row r="42" spans="1:13" x14ac:dyDescent="0.25">
      <c r="A42" s="2">
        <v>43540</v>
      </c>
      <c r="B42" s="1" t="s">
        <v>535</v>
      </c>
      <c r="C42" s="1" t="s">
        <v>536</v>
      </c>
      <c r="D42">
        <v>3</v>
      </c>
      <c r="E42">
        <v>23710.16</v>
      </c>
      <c r="F42">
        <v>23638.5</v>
      </c>
      <c r="G42">
        <v>4171.5</v>
      </c>
      <c r="H42" s="8">
        <f>SUM(sales_data[[#This Row],[rand discount]]/sales_data[[#This Row],[total order total]])</f>
        <v>0.17593723534552277</v>
      </c>
      <c r="I42">
        <v>15</v>
      </c>
      <c r="J42">
        <v>71.66</v>
      </c>
      <c r="K42">
        <v>27810</v>
      </c>
      <c r="L42" t="b">
        <v>1</v>
      </c>
      <c r="M42" s="13">
        <v>2.3925999999999998</v>
      </c>
    </row>
    <row r="43" spans="1:13" x14ac:dyDescent="0.25">
      <c r="A43" s="2">
        <v>43491</v>
      </c>
      <c r="B43" s="1" t="s">
        <v>331</v>
      </c>
      <c r="C43" s="1" t="s">
        <v>332</v>
      </c>
      <c r="D43">
        <v>1</v>
      </c>
      <c r="E43">
        <v>25062.35</v>
      </c>
      <c r="F43">
        <v>24988.5</v>
      </c>
      <c r="G43">
        <v>2776.5</v>
      </c>
      <c r="H43" s="8">
        <f>SUM(sales_data[[#This Row],[rand discount]]/sales_data[[#This Row],[total order total]])</f>
        <v>0.11078370543863605</v>
      </c>
      <c r="I43">
        <v>10</v>
      </c>
      <c r="J43">
        <v>73.849999999999994</v>
      </c>
      <c r="K43">
        <v>27765</v>
      </c>
      <c r="L43" t="b">
        <v>0</v>
      </c>
      <c r="M43" s="13">
        <v>0.88790000000000002</v>
      </c>
    </row>
    <row r="44" spans="1:13" x14ac:dyDescent="0.25">
      <c r="A44" s="2">
        <v>43718</v>
      </c>
      <c r="B44" s="1" t="s">
        <v>884</v>
      </c>
      <c r="C44" s="1" t="s">
        <v>885</v>
      </c>
      <c r="D44">
        <v>3</v>
      </c>
      <c r="E44">
        <v>26133.11</v>
      </c>
      <c r="F44">
        <v>26030</v>
      </c>
      <c r="G44">
        <v>1370</v>
      </c>
      <c r="H44" s="8">
        <f>SUM(sales_data[[#This Row],[rand discount]]/sales_data[[#This Row],[total order total]])</f>
        <v>5.2423917398273685E-2</v>
      </c>
      <c r="I44">
        <v>5</v>
      </c>
      <c r="J44">
        <v>103.11</v>
      </c>
      <c r="K44">
        <v>27400</v>
      </c>
      <c r="L44" t="b">
        <v>1</v>
      </c>
      <c r="M44" s="13">
        <v>1.0423</v>
      </c>
    </row>
    <row r="45" spans="1:13" x14ac:dyDescent="0.25">
      <c r="A45" s="2">
        <v>43586</v>
      </c>
      <c r="B45" s="1" t="s">
        <v>197</v>
      </c>
      <c r="C45" s="1" t="s">
        <v>198</v>
      </c>
      <c r="D45">
        <v>1</v>
      </c>
      <c r="E45">
        <v>25571.24</v>
      </c>
      <c r="F45">
        <v>25502.75</v>
      </c>
      <c r="G45">
        <v>1342.25</v>
      </c>
      <c r="H45" s="8">
        <f>SUM(sales_data[[#This Row],[rand discount]]/sales_data[[#This Row],[total order total]])</f>
        <v>5.2490610545284463E-2</v>
      </c>
      <c r="I45">
        <v>5</v>
      </c>
      <c r="J45">
        <v>68.489999999999995</v>
      </c>
      <c r="K45">
        <v>26845</v>
      </c>
      <c r="L45" t="b">
        <v>0</v>
      </c>
      <c r="M45" s="13">
        <v>1.3660000000000001</v>
      </c>
    </row>
    <row r="46" spans="1:13" x14ac:dyDescent="0.25">
      <c r="A46" s="2">
        <v>43659</v>
      </c>
      <c r="B46" s="1" t="s">
        <v>710</v>
      </c>
      <c r="C46" s="1" t="s">
        <v>711</v>
      </c>
      <c r="D46">
        <v>3</v>
      </c>
      <c r="E46">
        <v>26795.9</v>
      </c>
      <c r="F46">
        <v>26730</v>
      </c>
      <c r="G46">
        <v>0</v>
      </c>
      <c r="H46" s="8">
        <f>SUM(sales_data[[#This Row],[rand discount]]/sales_data[[#This Row],[total order total]])</f>
        <v>0</v>
      </c>
      <c r="I46">
        <v>0</v>
      </c>
      <c r="J46">
        <v>65.900000000000006</v>
      </c>
      <c r="K46">
        <v>26730</v>
      </c>
      <c r="L46" t="b">
        <v>0</v>
      </c>
      <c r="M46" s="13">
        <v>1.0693999999999999</v>
      </c>
    </row>
    <row r="47" spans="1:13" x14ac:dyDescent="0.25">
      <c r="A47" s="2">
        <v>43715</v>
      </c>
      <c r="B47" s="1" t="s">
        <v>855</v>
      </c>
      <c r="C47" s="1" t="s">
        <v>856</v>
      </c>
      <c r="D47">
        <v>2</v>
      </c>
      <c r="E47">
        <v>25392.12</v>
      </c>
      <c r="F47">
        <v>25293.75</v>
      </c>
      <c r="G47">
        <v>1331.25</v>
      </c>
      <c r="H47" s="8">
        <f>SUM(sales_data[[#This Row],[rand discount]]/sales_data[[#This Row],[total order total]])</f>
        <v>5.2427682288836069E-2</v>
      </c>
      <c r="I47">
        <v>5</v>
      </c>
      <c r="J47">
        <v>98.37</v>
      </c>
      <c r="K47">
        <v>26625</v>
      </c>
      <c r="L47" t="b">
        <v>1</v>
      </c>
      <c r="M47" s="13">
        <v>0.39</v>
      </c>
    </row>
    <row r="48" spans="1:13" x14ac:dyDescent="0.25">
      <c r="A48" s="2">
        <v>43645</v>
      </c>
      <c r="B48" s="1" t="s">
        <v>153</v>
      </c>
      <c r="C48" s="1" t="s">
        <v>154</v>
      </c>
      <c r="D48">
        <v>2</v>
      </c>
      <c r="E48">
        <v>26616.53</v>
      </c>
      <c r="F48">
        <v>26540</v>
      </c>
      <c r="G48">
        <v>0</v>
      </c>
      <c r="H48" s="8">
        <f>SUM(sales_data[[#This Row],[rand discount]]/sales_data[[#This Row],[total order total]])</f>
        <v>0</v>
      </c>
      <c r="I48">
        <v>0</v>
      </c>
      <c r="J48">
        <v>76.53</v>
      </c>
      <c r="K48">
        <v>26540</v>
      </c>
      <c r="L48" t="b">
        <v>1</v>
      </c>
      <c r="M48" s="13">
        <v>0.69240000000000002</v>
      </c>
    </row>
    <row r="49" spans="1:13" x14ac:dyDescent="0.25">
      <c r="A49" s="2">
        <v>43758</v>
      </c>
      <c r="B49" s="1" t="s">
        <v>611</v>
      </c>
      <c r="C49" s="1" t="s">
        <v>612</v>
      </c>
      <c r="D49">
        <v>3</v>
      </c>
      <c r="E49">
        <v>23887.8</v>
      </c>
      <c r="F49">
        <v>23809.5</v>
      </c>
      <c r="G49">
        <v>2645.5</v>
      </c>
      <c r="H49" s="8">
        <f>SUM(sales_data[[#This Row],[rand discount]]/sales_data[[#This Row],[total order total]])</f>
        <v>0.11074690846373463</v>
      </c>
      <c r="I49">
        <v>10</v>
      </c>
      <c r="J49">
        <v>78.3</v>
      </c>
      <c r="K49">
        <v>26455</v>
      </c>
      <c r="L49" t="b">
        <v>0</v>
      </c>
      <c r="M49" s="13">
        <v>0.9274</v>
      </c>
    </row>
    <row r="50" spans="1:13" x14ac:dyDescent="0.25">
      <c r="A50" s="2">
        <v>43746</v>
      </c>
      <c r="B50" s="1" t="s">
        <v>839</v>
      </c>
      <c r="C50" s="1" t="s">
        <v>840</v>
      </c>
      <c r="D50">
        <v>2</v>
      </c>
      <c r="E50">
        <v>22566</v>
      </c>
      <c r="F50">
        <v>22486.75</v>
      </c>
      <c r="G50">
        <v>3968.25</v>
      </c>
      <c r="H50" s="8">
        <f>SUM(sales_data[[#This Row],[rand discount]]/sales_data[[#This Row],[total order total]])</f>
        <v>0.1758508375432066</v>
      </c>
      <c r="I50">
        <v>15</v>
      </c>
      <c r="J50">
        <v>79.25</v>
      </c>
      <c r="K50">
        <v>26455</v>
      </c>
      <c r="L50" t="b">
        <v>0</v>
      </c>
      <c r="M50" s="13">
        <v>1.1383000000000001</v>
      </c>
    </row>
    <row r="51" spans="1:13" x14ac:dyDescent="0.25">
      <c r="A51" s="2">
        <v>43598</v>
      </c>
      <c r="B51" s="1" t="s">
        <v>493</v>
      </c>
      <c r="C51" s="1" t="s">
        <v>494</v>
      </c>
      <c r="D51">
        <v>1</v>
      </c>
      <c r="E51">
        <v>23790.84</v>
      </c>
      <c r="F51">
        <v>23724</v>
      </c>
      <c r="G51">
        <v>2636</v>
      </c>
      <c r="H51" s="8">
        <f>SUM(sales_data[[#This Row],[rand discount]]/sales_data[[#This Row],[total order total]])</f>
        <v>0.11079894614902205</v>
      </c>
      <c r="I51">
        <v>10</v>
      </c>
      <c r="J51">
        <v>66.84</v>
      </c>
      <c r="K51">
        <v>26360</v>
      </c>
      <c r="L51" t="b">
        <v>0</v>
      </c>
      <c r="M51" s="13">
        <v>1.4472</v>
      </c>
    </row>
    <row r="52" spans="1:13" x14ac:dyDescent="0.25">
      <c r="A52" s="2">
        <v>43748</v>
      </c>
      <c r="B52" s="1" t="s">
        <v>213</v>
      </c>
      <c r="C52" s="1" t="s">
        <v>214</v>
      </c>
      <c r="D52">
        <v>2</v>
      </c>
      <c r="E52">
        <v>25859.42</v>
      </c>
      <c r="F52">
        <v>25760</v>
      </c>
      <c r="G52">
        <v>0</v>
      </c>
      <c r="H52" s="8">
        <f>SUM(sales_data[[#This Row],[rand discount]]/sales_data[[#This Row],[total order total]])</f>
        <v>0</v>
      </c>
      <c r="I52">
        <v>0</v>
      </c>
      <c r="J52">
        <v>99.42</v>
      </c>
      <c r="K52">
        <v>25760</v>
      </c>
      <c r="L52" t="b">
        <v>1</v>
      </c>
      <c r="M52" s="13">
        <v>0.5423</v>
      </c>
    </row>
    <row r="53" spans="1:13" x14ac:dyDescent="0.25">
      <c r="A53" s="2">
        <v>43576</v>
      </c>
      <c r="B53" s="1" t="s">
        <v>860</v>
      </c>
      <c r="C53" s="1" t="s">
        <v>861</v>
      </c>
      <c r="D53">
        <v>3</v>
      </c>
      <c r="E53">
        <v>25818.91</v>
      </c>
      <c r="F53">
        <v>25740</v>
      </c>
      <c r="G53">
        <v>0</v>
      </c>
      <c r="H53" s="8">
        <f>SUM(sales_data[[#This Row],[rand discount]]/sales_data[[#This Row],[total order total]])</f>
        <v>0</v>
      </c>
      <c r="I53">
        <v>0</v>
      </c>
      <c r="J53">
        <v>78.91</v>
      </c>
      <c r="K53">
        <v>25740</v>
      </c>
      <c r="L53" t="b">
        <v>1</v>
      </c>
      <c r="M53" s="13">
        <v>0.90510000000000002</v>
      </c>
    </row>
    <row r="54" spans="1:13" x14ac:dyDescent="0.25">
      <c r="A54" s="2">
        <v>43600</v>
      </c>
      <c r="B54" s="1" t="s">
        <v>925</v>
      </c>
      <c r="C54" s="1" t="s">
        <v>926</v>
      </c>
      <c r="D54">
        <v>1</v>
      </c>
      <c r="E54">
        <v>19315.87</v>
      </c>
      <c r="F54">
        <v>19248.75</v>
      </c>
      <c r="G54">
        <v>6416.25</v>
      </c>
      <c r="H54" s="8">
        <f>SUM(sales_data[[#This Row],[rand discount]]/sales_data[[#This Row],[total order total]])</f>
        <v>0.33217504570076317</v>
      </c>
      <c r="I54">
        <v>25</v>
      </c>
      <c r="J54">
        <v>67.12</v>
      </c>
      <c r="K54">
        <v>25665</v>
      </c>
      <c r="L54" t="b">
        <v>0</v>
      </c>
      <c r="M54" s="13">
        <v>1.2617</v>
      </c>
    </row>
    <row r="55" spans="1:13" x14ac:dyDescent="0.25">
      <c r="A55" s="2">
        <v>43747</v>
      </c>
      <c r="B55" s="1" t="s">
        <v>26</v>
      </c>
      <c r="C55" s="1" t="s">
        <v>27</v>
      </c>
      <c r="D55">
        <v>3</v>
      </c>
      <c r="E55">
        <v>22958.58</v>
      </c>
      <c r="F55">
        <v>22851</v>
      </c>
      <c r="G55">
        <v>2539</v>
      </c>
      <c r="H55" s="8">
        <f>SUM(sales_data[[#This Row],[rand discount]]/sales_data[[#This Row],[total order total]])</f>
        <v>0.11059046334747183</v>
      </c>
      <c r="I55">
        <v>10</v>
      </c>
      <c r="J55">
        <v>107.58</v>
      </c>
      <c r="K55">
        <v>25390</v>
      </c>
      <c r="L55" t="b">
        <v>1</v>
      </c>
      <c r="M55" s="13">
        <v>1.6595</v>
      </c>
    </row>
    <row r="56" spans="1:13" x14ac:dyDescent="0.25">
      <c r="A56" s="2">
        <v>43560</v>
      </c>
      <c r="B56" s="1" t="s">
        <v>991</v>
      </c>
      <c r="C56" s="1" t="s">
        <v>992</v>
      </c>
      <c r="D56">
        <v>3</v>
      </c>
      <c r="E56">
        <v>22899.41</v>
      </c>
      <c r="F56">
        <v>22833</v>
      </c>
      <c r="G56">
        <v>2537</v>
      </c>
      <c r="H56" s="8">
        <f>SUM(sales_data[[#This Row],[rand discount]]/sales_data[[#This Row],[total order total]])</f>
        <v>0.11078888058687975</v>
      </c>
      <c r="I56">
        <v>10</v>
      </c>
      <c r="J56">
        <v>66.41</v>
      </c>
      <c r="K56">
        <v>25370</v>
      </c>
      <c r="L56" t="b">
        <v>0</v>
      </c>
      <c r="M56" s="13">
        <v>0.91539999999999999</v>
      </c>
    </row>
    <row r="57" spans="1:13" x14ac:dyDescent="0.25">
      <c r="A57" s="2">
        <v>43705</v>
      </c>
      <c r="B57" s="1" t="s">
        <v>301</v>
      </c>
      <c r="C57" s="1" t="s">
        <v>302</v>
      </c>
      <c r="D57">
        <v>2</v>
      </c>
      <c r="E57">
        <v>18896.47</v>
      </c>
      <c r="F57">
        <v>18832.5</v>
      </c>
      <c r="G57">
        <v>6277.5</v>
      </c>
      <c r="H57" s="8">
        <f>SUM(sales_data[[#This Row],[rand discount]]/sales_data[[#This Row],[total order total]])</f>
        <v>0.33220490387887258</v>
      </c>
      <c r="I57">
        <v>25</v>
      </c>
      <c r="J57">
        <v>63.97</v>
      </c>
      <c r="K57">
        <v>25110</v>
      </c>
      <c r="L57" t="b">
        <v>0</v>
      </c>
      <c r="M57" s="13">
        <v>0.68359999999999999</v>
      </c>
    </row>
    <row r="58" spans="1:13" x14ac:dyDescent="0.25">
      <c r="A58" s="2">
        <v>43540</v>
      </c>
      <c r="B58" s="1" t="s">
        <v>917</v>
      </c>
      <c r="C58" s="1" t="s">
        <v>918</v>
      </c>
      <c r="D58">
        <v>1</v>
      </c>
      <c r="E58">
        <v>25186.7</v>
      </c>
      <c r="F58">
        <v>25105</v>
      </c>
      <c r="G58">
        <v>0</v>
      </c>
      <c r="H58" s="8">
        <f>SUM(sales_data[[#This Row],[rand discount]]/sales_data[[#This Row],[total order total]])</f>
        <v>0</v>
      </c>
      <c r="I58">
        <v>0</v>
      </c>
      <c r="J58">
        <v>81.7</v>
      </c>
      <c r="K58">
        <v>25105</v>
      </c>
      <c r="L58" t="b">
        <v>1</v>
      </c>
      <c r="M58" s="13">
        <v>1.9267000000000001</v>
      </c>
    </row>
    <row r="59" spans="1:13" x14ac:dyDescent="0.25">
      <c r="A59" s="2">
        <v>43792</v>
      </c>
      <c r="B59" s="1" t="s">
        <v>941</v>
      </c>
      <c r="C59" s="1" t="s">
        <v>942</v>
      </c>
      <c r="D59">
        <v>2</v>
      </c>
      <c r="E59">
        <v>23954.240000000002</v>
      </c>
      <c r="F59">
        <v>23849.75</v>
      </c>
      <c r="G59">
        <v>1255.25</v>
      </c>
      <c r="H59" s="8">
        <f>SUM(sales_data[[#This Row],[rand discount]]/sales_data[[#This Row],[total order total]])</f>
        <v>5.240199647327571E-2</v>
      </c>
      <c r="I59">
        <v>5</v>
      </c>
      <c r="J59">
        <v>104.49</v>
      </c>
      <c r="K59">
        <v>25105</v>
      </c>
      <c r="L59" t="b">
        <v>1</v>
      </c>
      <c r="M59" s="13">
        <v>0.8196</v>
      </c>
    </row>
    <row r="60" spans="1:13" x14ac:dyDescent="0.25">
      <c r="A60" s="2">
        <v>43811</v>
      </c>
      <c r="B60" s="1" t="s">
        <v>767</v>
      </c>
      <c r="C60" s="1" t="s">
        <v>768</v>
      </c>
      <c r="D60">
        <v>2</v>
      </c>
      <c r="E60">
        <v>22580.87</v>
      </c>
      <c r="F60">
        <v>22522.5</v>
      </c>
      <c r="G60">
        <v>2502.5</v>
      </c>
      <c r="H60" s="8">
        <f>SUM(sales_data[[#This Row],[rand discount]]/sales_data[[#This Row],[total order total]])</f>
        <v>0.11082389651063046</v>
      </c>
      <c r="I60">
        <v>10</v>
      </c>
      <c r="J60">
        <v>58.37</v>
      </c>
      <c r="K60">
        <v>25025</v>
      </c>
      <c r="L60" t="b">
        <v>0</v>
      </c>
      <c r="M60" s="13">
        <v>0.72360000000000002</v>
      </c>
    </row>
    <row r="61" spans="1:13" x14ac:dyDescent="0.25">
      <c r="A61" s="2">
        <v>43812</v>
      </c>
      <c r="B61" s="1" t="s">
        <v>477</v>
      </c>
      <c r="C61" s="1" t="s">
        <v>478</v>
      </c>
      <c r="D61">
        <v>1</v>
      </c>
      <c r="E61">
        <v>18815.560000000001</v>
      </c>
      <c r="F61">
        <v>18735</v>
      </c>
      <c r="G61">
        <v>6245</v>
      </c>
      <c r="H61" s="8">
        <f>SUM(sales_data[[#This Row],[rand discount]]/sales_data[[#This Row],[total order total]])</f>
        <v>0.33190614576446303</v>
      </c>
      <c r="I61">
        <v>25</v>
      </c>
      <c r="J61">
        <v>80.56</v>
      </c>
      <c r="K61">
        <v>24980</v>
      </c>
      <c r="L61" t="b">
        <v>1</v>
      </c>
      <c r="M61" s="13">
        <v>0.97870000000000001</v>
      </c>
    </row>
    <row r="62" spans="1:13" x14ac:dyDescent="0.25">
      <c r="A62" s="2">
        <v>43667</v>
      </c>
      <c r="B62" s="1" t="s">
        <v>391</v>
      </c>
      <c r="C62" s="1" t="s">
        <v>392</v>
      </c>
      <c r="D62">
        <v>1</v>
      </c>
      <c r="E62">
        <v>23683.68</v>
      </c>
      <c r="F62">
        <v>23617</v>
      </c>
      <c r="G62">
        <v>1243</v>
      </c>
      <c r="H62" s="8">
        <f>SUM(sales_data[[#This Row],[rand discount]]/sales_data[[#This Row],[total order total]])</f>
        <v>5.2483397850334068E-2</v>
      </c>
      <c r="I62">
        <v>5</v>
      </c>
      <c r="J62">
        <v>66.680000000000007</v>
      </c>
      <c r="K62">
        <v>24860</v>
      </c>
      <c r="L62" t="b">
        <v>0</v>
      </c>
      <c r="M62" s="13">
        <v>0.97629999999999995</v>
      </c>
    </row>
    <row r="63" spans="1:13" x14ac:dyDescent="0.25">
      <c r="A63" s="2">
        <v>43477</v>
      </c>
      <c r="B63" s="1" t="s">
        <v>15</v>
      </c>
      <c r="C63" s="1" t="s">
        <v>16</v>
      </c>
      <c r="D63">
        <v>2</v>
      </c>
      <c r="E63">
        <v>21137.61</v>
      </c>
      <c r="F63">
        <v>21080</v>
      </c>
      <c r="G63">
        <v>3720</v>
      </c>
      <c r="H63" s="8">
        <f>SUM(sales_data[[#This Row],[rand discount]]/sales_data[[#This Row],[total order total]])</f>
        <v>0.17598962228936951</v>
      </c>
      <c r="I63">
        <v>15</v>
      </c>
      <c r="J63">
        <v>57.61</v>
      </c>
      <c r="K63">
        <v>24800</v>
      </c>
      <c r="L63" t="b">
        <v>0</v>
      </c>
      <c r="M63" s="13">
        <v>0.85709999999999997</v>
      </c>
    </row>
    <row r="64" spans="1:13" x14ac:dyDescent="0.25">
      <c r="A64" s="2">
        <v>43680</v>
      </c>
      <c r="B64" s="1" t="s">
        <v>271</v>
      </c>
      <c r="C64" s="1" t="s">
        <v>272</v>
      </c>
      <c r="D64">
        <v>1</v>
      </c>
      <c r="E64">
        <v>24880.23</v>
      </c>
      <c r="F64">
        <v>24800</v>
      </c>
      <c r="G64">
        <v>0</v>
      </c>
      <c r="H64" s="8">
        <f>SUM(sales_data[[#This Row],[rand discount]]/sales_data[[#This Row],[total order total]])</f>
        <v>0</v>
      </c>
      <c r="I64">
        <v>0</v>
      </c>
      <c r="J64">
        <v>80.23</v>
      </c>
      <c r="K64">
        <v>24800</v>
      </c>
      <c r="L64" t="b">
        <v>1</v>
      </c>
      <c r="M64" s="13">
        <v>1.4443999999999999</v>
      </c>
    </row>
    <row r="65" spans="1:13" x14ac:dyDescent="0.25">
      <c r="A65" s="2">
        <v>43639</v>
      </c>
      <c r="B65" s="1" t="s">
        <v>694</v>
      </c>
      <c r="C65" s="1" t="s">
        <v>695</v>
      </c>
      <c r="D65">
        <v>1</v>
      </c>
      <c r="E65">
        <v>18586.849999999999</v>
      </c>
      <c r="F65">
        <v>18510</v>
      </c>
      <c r="G65">
        <v>6170</v>
      </c>
      <c r="H65" s="8">
        <f>SUM(sales_data[[#This Row],[rand discount]]/sales_data[[#This Row],[total order total]])</f>
        <v>0.33195511880711365</v>
      </c>
      <c r="I65">
        <v>25</v>
      </c>
      <c r="J65">
        <v>76.849999999999994</v>
      </c>
      <c r="K65">
        <v>24680</v>
      </c>
      <c r="L65" t="b">
        <v>1</v>
      </c>
      <c r="M65" s="13">
        <v>0.93959999999999999</v>
      </c>
    </row>
    <row r="66" spans="1:13" x14ac:dyDescent="0.25">
      <c r="A66" s="2">
        <v>43744</v>
      </c>
      <c r="B66" s="1" t="s">
        <v>181</v>
      </c>
      <c r="C66" s="1" t="s">
        <v>182</v>
      </c>
      <c r="D66">
        <v>2</v>
      </c>
      <c r="E66">
        <v>24597.54</v>
      </c>
      <c r="F66">
        <v>24510</v>
      </c>
      <c r="G66">
        <v>0</v>
      </c>
      <c r="H66" s="8">
        <f>SUM(sales_data[[#This Row],[rand discount]]/sales_data[[#This Row],[total order total]])</f>
        <v>0</v>
      </c>
      <c r="I66">
        <v>0</v>
      </c>
      <c r="J66">
        <v>87.54</v>
      </c>
      <c r="K66">
        <v>24510</v>
      </c>
      <c r="L66" t="b">
        <v>1</v>
      </c>
      <c r="M66" s="13">
        <v>0.85719999999999996</v>
      </c>
    </row>
    <row r="67" spans="1:13" x14ac:dyDescent="0.25">
      <c r="A67" s="2">
        <v>43764</v>
      </c>
      <c r="B67" s="1" t="s">
        <v>211</v>
      </c>
      <c r="C67" s="1" t="s">
        <v>212</v>
      </c>
      <c r="D67">
        <v>2</v>
      </c>
      <c r="E67">
        <v>20812.669999999998</v>
      </c>
      <c r="F67">
        <v>20740</v>
      </c>
      <c r="G67">
        <v>3660</v>
      </c>
      <c r="H67" s="8">
        <f>SUM(sales_data[[#This Row],[rand discount]]/sales_data[[#This Row],[total order total]])</f>
        <v>0.1758544194473847</v>
      </c>
      <c r="I67">
        <v>15</v>
      </c>
      <c r="J67">
        <v>72.67</v>
      </c>
      <c r="K67">
        <v>24400</v>
      </c>
      <c r="L67" t="b">
        <v>0</v>
      </c>
      <c r="M67" s="13">
        <v>0.44569999999999999</v>
      </c>
    </row>
    <row r="68" spans="1:13" x14ac:dyDescent="0.25">
      <c r="A68" s="2">
        <v>43826</v>
      </c>
      <c r="B68" s="1" t="s">
        <v>967</v>
      </c>
      <c r="C68" s="1" t="s">
        <v>968</v>
      </c>
      <c r="D68">
        <v>3</v>
      </c>
      <c r="E68">
        <v>22020.69</v>
      </c>
      <c r="F68">
        <v>21924</v>
      </c>
      <c r="G68">
        <v>2436</v>
      </c>
      <c r="H68" s="8">
        <f>SUM(sales_data[[#This Row],[rand discount]]/sales_data[[#This Row],[total order total]])</f>
        <v>0.11062323660157788</v>
      </c>
      <c r="I68">
        <v>10</v>
      </c>
      <c r="J68">
        <v>96.69</v>
      </c>
      <c r="K68">
        <v>24360</v>
      </c>
      <c r="L68" t="b">
        <v>1</v>
      </c>
      <c r="M68" s="13">
        <v>1.1319999999999999</v>
      </c>
    </row>
    <row r="69" spans="1:13" x14ac:dyDescent="0.25">
      <c r="A69" s="2">
        <v>43600</v>
      </c>
      <c r="B69" s="1" t="s">
        <v>425</v>
      </c>
      <c r="C69" s="1" t="s">
        <v>426</v>
      </c>
      <c r="D69">
        <v>2</v>
      </c>
      <c r="E69">
        <v>21985.71</v>
      </c>
      <c r="F69">
        <v>21906</v>
      </c>
      <c r="G69">
        <v>2434</v>
      </c>
      <c r="H69" s="8">
        <f>SUM(sales_data[[#This Row],[rand discount]]/sales_data[[#This Row],[total order total]])</f>
        <v>0.11070827369232106</v>
      </c>
      <c r="I69">
        <v>10</v>
      </c>
      <c r="J69">
        <v>79.709999999999994</v>
      </c>
      <c r="K69">
        <v>24340</v>
      </c>
      <c r="L69" t="b">
        <v>1</v>
      </c>
      <c r="M69" s="13">
        <v>1.3084</v>
      </c>
    </row>
    <row r="70" spans="1:13" x14ac:dyDescent="0.25">
      <c r="A70" s="2">
        <v>43582</v>
      </c>
      <c r="B70" s="1" t="s">
        <v>225</v>
      </c>
      <c r="C70" s="1" t="s">
        <v>226</v>
      </c>
      <c r="D70">
        <v>1</v>
      </c>
      <c r="E70">
        <v>20716.189999999999</v>
      </c>
      <c r="F70">
        <v>20663.5</v>
      </c>
      <c r="G70">
        <v>3646.5</v>
      </c>
      <c r="H70" s="8">
        <f>SUM(sales_data[[#This Row],[rand discount]]/sales_data[[#This Row],[total order total]])</f>
        <v>0.17602174917298982</v>
      </c>
      <c r="I70">
        <v>15</v>
      </c>
      <c r="J70">
        <v>52.69</v>
      </c>
      <c r="K70">
        <v>24310</v>
      </c>
      <c r="L70" t="b">
        <v>0</v>
      </c>
      <c r="M70" s="13">
        <v>1.2733000000000001</v>
      </c>
    </row>
    <row r="71" spans="1:13" x14ac:dyDescent="0.25">
      <c r="A71" s="2">
        <v>43625</v>
      </c>
      <c r="B71" s="1" t="s">
        <v>405</v>
      </c>
      <c r="C71" s="1" t="s">
        <v>406</v>
      </c>
      <c r="D71">
        <v>3</v>
      </c>
      <c r="E71">
        <v>24307.39</v>
      </c>
      <c r="F71">
        <v>24225</v>
      </c>
      <c r="G71">
        <v>0</v>
      </c>
      <c r="H71" s="8">
        <f>SUM(sales_data[[#This Row],[rand discount]]/sales_data[[#This Row],[total order total]])</f>
        <v>0</v>
      </c>
      <c r="I71">
        <v>0</v>
      </c>
      <c r="J71">
        <v>82.39</v>
      </c>
      <c r="K71">
        <v>24225</v>
      </c>
      <c r="L71" t="b">
        <v>1</v>
      </c>
      <c r="M71" s="13">
        <v>1.7346999999999999</v>
      </c>
    </row>
    <row r="72" spans="1:13" x14ac:dyDescent="0.25">
      <c r="A72" s="2">
        <v>43527</v>
      </c>
      <c r="B72" s="1" t="s">
        <v>157</v>
      </c>
      <c r="C72" s="1" t="s">
        <v>158</v>
      </c>
      <c r="D72">
        <v>1</v>
      </c>
      <c r="E72">
        <v>24293.23</v>
      </c>
      <c r="F72">
        <v>24210</v>
      </c>
      <c r="G72">
        <v>0</v>
      </c>
      <c r="H72" s="8">
        <f>SUM(sales_data[[#This Row],[rand discount]]/sales_data[[#This Row],[total order total]])</f>
        <v>0</v>
      </c>
      <c r="I72">
        <v>0</v>
      </c>
      <c r="J72">
        <v>83.23</v>
      </c>
      <c r="K72">
        <v>24210</v>
      </c>
      <c r="L72" t="b">
        <v>1</v>
      </c>
      <c r="M72" s="13">
        <v>1.5871999999999999</v>
      </c>
    </row>
    <row r="73" spans="1:13" x14ac:dyDescent="0.25">
      <c r="A73" s="2">
        <v>43724</v>
      </c>
      <c r="B73" s="1" t="s">
        <v>403</v>
      </c>
      <c r="C73" s="1" t="s">
        <v>404</v>
      </c>
      <c r="D73">
        <v>3</v>
      </c>
      <c r="E73">
        <v>21847.59</v>
      </c>
      <c r="F73">
        <v>21789</v>
      </c>
      <c r="G73">
        <v>2421</v>
      </c>
      <c r="H73" s="8">
        <f>SUM(sales_data[[#This Row],[rand discount]]/sales_data[[#This Row],[total order total]])</f>
        <v>0.11081313774196605</v>
      </c>
      <c r="I73">
        <v>10</v>
      </c>
      <c r="J73">
        <v>58.59</v>
      </c>
      <c r="K73">
        <v>24210</v>
      </c>
      <c r="L73" t="b">
        <v>0</v>
      </c>
      <c r="M73" s="13">
        <v>0.2276</v>
      </c>
    </row>
    <row r="74" spans="1:13" x14ac:dyDescent="0.25">
      <c r="A74" s="2">
        <v>43580</v>
      </c>
      <c r="B74" s="1" t="s">
        <v>888</v>
      </c>
      <c r="C74" s="1" t="s">
        <v>480</v>
      </c>
      <c r="D74">
        <v>2</v>
      </c>
      <c r="E74">
        <v>22899.64</v>
      </c>
      <c r="F74">
        <v>22847.5</v>
      </c>
      <c r="G74">
        <v>1202.5</v>
      </c>
      <c r="H74" s="8">
        <f>SUM(sales_data[[#This Row],[rand discount]]/sales_data[[#This Row],[total order total]])</f>
        <v>5.2511742542677528E-2</v>
      </c>
      <c r="I74">
        <v>5</v>
      </c>
      <c r="J74">
        <v>52.14</v>
      </c>
      <c r="K74">
        <v>24050</v>
      </c>
      <c r="L74" t="b">
        <v>0</v>
      </c>
      <c r="M74" s="13">
        <v>1.3170999999999999</v>
      </c>
    </row>
    <row r="75" spans="1:13" x14ac:dyDescent="0.25">
      <c r="A75" s="2">
        <v>43749</v>
      </c>
      <c r="B75" s="1" t="s">
        <v>706</v>
      </c>
      <c r="C75" s="1" t="s">
        <v>707</v>
      </c>
      <c r="D75">
        <v>1</v>
      </c>
      <c r="E75">
        <v>18000.41</v>
      </c>
      <c r="F75">
        <v>17925</v>
      </c>
      <c r="G75">
        <v>5975</v>
      </c>
      <c r="H75" s="8">
        <f>SUM(sales_data[[#This Row],[rand discount]]/sales_data[[#This Row],[total order total]])</f>
        <v>0.33193688365987217</v>
      </c>
      <c r="I75">
        <v>25</v>
      </c>
      <c r="J75">
        <v>75.41</v>
      </c>
      <c r="K75">
        <v>23900</v>
      </c>
      <c r="L75" t="b">
        <v>0</v>
      </c>
      <c r="M75" s="13">
        <v>0.62109999999999999</v>
      </c>
    </row>
    <row r="76" spans="1:13" x14ac:dyDescent="0.25">
      <c r="A76" s="2">
        <v>43769</v>
      </c>
      <c r="B76" s="1" t="s">
        <v>728</v>
      </c>
      <c r="C76" s="1" t="s">
        <v>642</v>
      </c>
      <c r="D76">
        <v>3</v>
      </c>
      <c r="E76">
        <v>17995.580000000002</v>
      </c>
      <c r="F76">
        <v>17917.5</v>
      </c>
      <c r="G76">
        <v>5972.5</v>
      </c>
      <c r="H76" s="8">
        <f>SUM(sales_data[[#This Row],[rand discount]]/sales_data[[#This Row],[total order total]])</f>
        <v>0.33188705226505616</v>
      </c>
      <c r="I76">
        <v>25</v>
      </c>
      <c r="J76">
        <v>78.08</v>
      </c>
      <c r="K76">
        <v>23890</v>
      </c>
      <c r="L76" t="b">
        <v>0</v>
      </c>
      <c r="M76" s="13">
        <v>0.9083</v>
      </c>
    </row>
    <row r="77" spans="1:13" x14ac:dyDescent="0.25">
      <c r="A77" s="2">
        <v>43481</v>
      </c>
      <c r="B77" s="1" t="s">
        <v>293</v>
      </c>
      <c r="C77" s="1" t="s">
        <v>294</v>
      </c>
      <c r="D77">
        <v>2</v>
      </c>
      <c r="E77">
        <v>20388.62</v>
      </c>
      <c r="F77">
        <v>20298</v>
      </c>
      <c r="G77">
        <v>3582</v>
      </c>
      <c r="H77" s="8">
        <f>SUM(sales_data[[#This Row],[rand discount]]/sales_data[[#This Row],[total order total]])</f>
        <v>0.17568624065777871</v>
      </c>
      <c r="I77">
        <v>15</v>
      </c>
      <c r="J77">
        <v>90.62</v>
      </c>
      <c r="K77">
        <v>23880</v>
      </c>
      <c r="L77" t="b">
        <v>1</v>
      </c>
      <c r="M77" s="13">
        <v>0.34089999999999998</v>
      </c>
    </row>
    <row r="78" spans="1:13" x14ac:dyDescent="0.25">
      <c r="A78" s="2">
        <v>43711</v>
      </c>
      <c r="B78" s="1" t="s">
        <v>135</v>
      </c>
      <c r="C78" s="1" t="s">
        <v>136</v>
      </c>
      <c r="D78">
        <v>1</v>
      </c>
      <c r="E78">
        <v>17973.2</v>
      </c>
      <c r="F78">
        <v>17906.25</v>
      </c>
      <c r="G78">
        <v>5968.75</v>
      </c>
      <c r="H78" s="8">
        <f>SUM(sales_data[[#This Row],[rand discount]]/sales_data[[#This Row],[total order total]])</f>
        <v>0.33209166981950905</v>
      </c>
      <c r="I78">
        <v>25</v>
      </c>
      <c r="J78">
        <v>66.95</v>
      </c>
      <c r="K78">
        <v>23875</v>
      </c>
      <c r="L78" t="b">
        <v>0</v>
      </c>
      <c r="M78" s="13">
        <v>1.4754</v>
      </c>
    </row>
    <row r="79" spans="1:13" x14ac:dyDescent="0.25">
      <c r="A79" s="2">
        <v>43575</v>
      </c>
      <c r="B79" s="1" t="s">
        <v>223</v>
      </c>
      <c r="C79" s="1" t="s">
        <v>224</v>
      </c>
      <c r="D79">
        <v>2</v>
      </c>
      <c r="E79">
        <v>17794.88</v>
      </c>
      <c r="F79">
        <v>17745</v>
      </c>
      <c r="G79">
        <v>5915</v>
      </c>
      <c r="H79" s="8">
        <f>SUM(sales_data[[#This Row],[rand discount]]/sales_data[[#This Row],[total order total]])</f>
        <v>0.33239898217914365</v>
      </c>
      <c r="I79">
        <v>25</v>
      </c>
      <c r="J79">
        <v>49.88</v>
      </c>
      <c r="K79">
        <v>23660</v>
      </c>
      <c r="L79" t="b">
        <v>0</v>
      </c>
      <c r="M79" s="13">
        <v>0.28260000000000002</v>
      </c>
    </row>
    <row r="80" spans="1:13" x14ac:dyDescent="0.25">
      <c r="A80" s="2">
        <v>43551</v>
      </c>
      <c r="B80" s="1" t="s">
        <v>718</v>
      </c>
      <c r="C80" s="1" t="s">
        <v>719</v>
      </c>
      <c r="D80">
        <v>2</v>
      </c>
      <c r="E80">
        <v>22354.67</v>
      </c>
      <c r="F80">
        <v>22277.5</v>
      </c>
      <c r="G80">
        <v>1172.5</v>
      </c>
      <c r="H80" s="8">
        <f>SUM(sales_data[[#This Row],[rand discount]]/sales_data[[#This Row],[total order total]])</f>
        <v>5.2449890783447042E-2</v>
      </c>
      <c r="I80">
        <v>5</v>
      </c>
      <c r="J80">
        <v>77.17</v>
      </c>
      <c r="K80">
        <v>23450</v>
      </c>
      <c r="L80" t="b">
        <v>1</v>
      </c>
      <c r="M80" s="13">
        <v>0.43680000000000002</v>
      </c>
    </row>
    <row r="81" spans="1:13" x14ac:dyDescent="0.25">
      <c r="A81" s="2">
        <v>43510</v>
      </c>
      <c r="B81" s="1" t="s">
        <v>195</v>
      </c>
      <c r="C81" s="1" t="s">
        <v>196</v>
      </c>
      <c r="D81">
        <v>1</v>
      </c>
      <c r="E81">
        <v>23495.54</v>
      </c>
      <c r="F81">
        <v>23440</v>
      </c>
      <c r="G81">
        <v>0</v>
      </c>
      <c r="H81" s="8">
        <f>SUM(sales_data[[#This Row],[rand discount]]/sales_data[[#This Row],[total order total]])</f>
        <v>0</v>
      </c>
      <c r="I81">
        <v>0</v>
      </c>
      <c r="J81">
        <v>55.54</v>
      </c>
      <c r="K81">
        <v>23440</v>
      </c>
      <c r="L81" t="b">
        <v>0</v>
      </c>
      <c r="M81" s="13">
        <v>0.58260000000000001</v>
      </c>
    </row>
    <row r="82" spans="1:13" x14ac:dyDescent="0.25">
      <c r="A82" s="2">
        <v>43780</v>
      </c>
      <c r="B82" s="1" t="s">
        <v>339</v>
      </c>
      <c r="C82" s="1" t="s">
        <v>340</v>
      </c>
      <c r="D82">
        <v>2</v>
      </c>
      <c r="E82">
        <v>23461.82</v>
      </c>
      <c r="F82">
        <v>23385</v>
      </c>
      <c r="G82">
        <v>0</v>
      </c>
      <c r="H82" s="8">
        <f>SUM(sales_data[[#This Row],[rand discount]]/sales_data[[#This Row],[total order total]])</f>
        <v>0</v>
      </c>
      <c r="I82">
        <v>0</v>
      </c>
      <c r="J82">
        <v>76.819999999999993</v>
      </c>
      <c r="K82">
        <v>23385</v>
      </c>
      <c r="L82" t="b">
        <v>0</v>
      </c>
      <c r="M82" s="13">
        <v>0.85929999999999995</v>
      </c>
    </row>
    <row r="83" spans="1:13" x14ac:dyDescent="0.25">
      <c r="A83" s="2">
        <v>43564</v>
      </c>
      <c r="B83" s="1" t="s">
        <v>283</v>
      </c>
      <c r="C83" s="1" t="s">
        <v>284</v>
      </c>
      <c r="D83">
        <v>1</v>
      </c>
      <c r="E83">
        <v>17449.98</v>
      </c>
      <c r="F83">
        <v>17385</v>
      </c>
      <c r="G83">
        <v>5795</v>
      </c>
      <c r="H83" s="8">
        <f>SUM(sales_data[[#This Row],[rand discount]]/sales_data[[#This Row],[total order total]])</f>
        <v>0.33209207116569761</v>
      </c>
      <c r="I83">
        <v>25</v>
      </c>
      <c r="J83">
        <v>64.98</v>
      </c>
      <c r="K83">
        <v>23180</v>
      </c>
      <c r="L83" t="b">
        <v>0</v>
      </c>
      <c r="M83" s="13">
        <v>0.36030000000000001</v>
      </c>
    </row>
    <row r="84" spans="1:13" x14ac:dyDescent="0.25">
      <c r="A84" s="2">
        <v>43809</v>
      </c>
      <c r="B84" s="1" t="s">
        <v>792</v>
      </c>
      <c r="C84" s="1" t="s">
        <v>793</v>
      </c>
      <c r="D84">
        <v>1</v>
      </c>
      <c r="E84">
        <v>17398.87</v>
      </c>
      <c r="F84">
        <v>17310</v>
      </c>
      <c r="G84">
        <v>5770</v>
      </c>
      <c r="H84" s="8">
        <f>SUM(sales_data[[#This Row],[rand discount]]/sales_data[[#This Row],[total order total]])</f>
        <v>0.33163073234066354</v>
      </c>
      <c r="I84">
        <v>25</v>
      </c>
      <c r="J84">
        <v>88.87</v>
      </c>
      <c r="K84">
        <v>23080</v>
      </c>
      <c r="L84" t="b">
        <v>1</v>
      </c>
      <c r="M84" s="13">
        <v>1.873</v>
      </c>
    </row>
    <row r="85" spans="1:13" x14ac:dyDescent="0.25">
      <c r="A85" s="2">
        <v>43728</v>
      </c>
      <c r="B85" s="1" t="s">
        <v>511</v>
      </c>
      <c r="C85" s="1" t="s">
        <v>512</v>
      </c>
      <c r="D85">
        <v>2</v>
      </c>
      <c r="E85">
        <v>20758.48</v>
      </c>
      <c r="F85">
        <v>20673</v>
      </c>
      <c r="G85">
        <v>2297</v>
      </c>
      <c r="H85" s="8">
        <f>SUM(sales_data[[#This Row],[rand discount]]/sales_data[[#This Row],[total order total]])</f>
        <v>0.11065357386475311</v>
      </c>
      <c r="I85">
        <v>10</v>
      </c>
      <c r="J85">
        <v>85.48</v>
      </c>
      <c r="K85">
        <v>22970</v>
      </c>
      <c r="L85" t="b">
        <v>0</v>
      </c>
      <c r="M85" s="13">
        <v>1.6932</v>
      </c>
    </row>
    <row r="86" spans="1:13" x14ac:dyDescent="0.25">
      <c r="A86" s="2">
        <v>43590</v>
      </c>
      <c r="B86" s="1" t="s">
        <v>479</v>
      </c>
      <c r="C86" s="1" t="s">
        <v>480</v>
      </c>
      <c r="D86">
        <v>2</v>
      </c>
      <c r="E86">
        <v>17260.900000000001</v>
      </c>
      <c r="F86">
        <v>17193.75</v>
      </c>
      <c r="G86">
        <v>5731.25</v>
      </c>
      <c r="H86" s="8">
        <f>SUM(sales_data[[#This Row],[rand discount]]/sales_data[[#This Row],[total order total]])</f>
        <v>0.33203656819748678</v>
      </c>
      <c r="I86">
        <v>25</v>
      </c>
      <c r="J86">
        <v>67.150000000000006</v>
      </c>
      <c r="K86">
        <v>22925</v>
      </c>
      <c r="L86" t="b">
        <v>1</v>
      </c>
      <c r="M86" s="13">
        <v>1.3170999999999999</v>
      </c>
    </row>
    <row r="87" spans="1:13" x14ac:dyDescent="0.25">
      <c r="A87" s="2">
        <v>43606</v>
      </c>
      <c r="B87" s="1" t="s">
        <v>729</v>
      </c>
      <c r="C87" s="1" t="s">
        <v>730</v>
      </c>
      <c r="D87">
        <v>2</v>
      </c>
      <c r="E87">
        <v>20584.78</v>
      </c>
      <c r="F87">
        <v>20520</v>
      </c>
      <c r="G87">
        <v>2280</v>
      </c>
      <c r="H87" s="8">
        <f>SUM(sales_data[[#This Row],[rand discount]]/sales_data[[#This Row],[total order total]])</f>
        <v>0.1107614460781218</v>
      </c>
      <c r="I87">
        <v>10</v>
      </c>
      <c r="J87">
        <v>64.78</v>
      </c>
      <c r="K87">
        <v>22800</v>
      </c>
      <c r="L87" t="b">
        <v>0</v>
      </c>
      <c r="M87" s="13">
        <v>1.3422000000000001</v>
      </c>
    </row>
    <row r="88" spans="1:13" x14ac:dyDescent="0.25">
      <c r="A88" s="2">
        <v>43725</v>
      </c>
      <c r="B88" s="1" t="s">
        <v>54</v>
      </c>
      <c r="C88" s="1" t="s">
        <v>55</v>
      </c>
      <c r="D88">
        <v>2</v>
      </c>
      <c r="E88">
        <v>17111.009999999998</v>
      </c>
      <c r="F88">
        <v>17047.5</v>
      </c>
      <c r="G88">
        <v>5682.5</v>
      </c>
      <c r="H88" s="8">
        <f>SUM(sales_data[[#This Row],[rand discount]]/sales_data[[#This Row],[total order total]])</f>
        <v>0.33209611823030905</v>
      </c>
      <c r="I88">
        <v>25</v>
      </c>
      <c r="J88">
        <v>63.51</v>
      </c>
      <c r="K88">
        <v>22730</v>
      </c>
      <c r="L88" t="b">
        <v>0</v>
      </c>
      <c r="M88" s="13">
        <v>1.1215999999999999</v>
      </c>
    </row>
    <row r="89" spans="1:13" x14ac:dyDescent="0.25">
      <c r="A89" s="2">
        <v>43820</v>
      </c>
      <c r="B89" s="1" t="s">
        <v>441</v>
      </c>
      <c r="C89" s="1" t="s">
        <v>442</v>
      </c>
      <c r="D89">
        <v>3</v>
      </c>
      <c r="E89">
        <v>19332.240000000002</v>
      </c>
      <c r="F89">
        <v>19252.5</v>
      </c>
      <c r="G89">
        <v>3397.5</v>
      </c>
      <c r="H89" s="8">
        <f>SUM(sales_data[[#This Row],[rand discount]]/sales_data[[#This Row],[total order total]])</f>
        <v>0.17574269717321944</v>
      </c>
      <c r="I89">
        <v>15</v>
      </c>
      <c r="J89">
        <v>79.739999999999995</v>
      </c>
      <c r="K89">
        <v>22650</v>
      </c>
      <c r="L89" t="b">
        <v>0</v>
      </c>
      <c r="M89" s="13">
        <v>1.4087000000000001</v>
      </c>
    </row>
    <row r="90" spans="1:13" x14ac:dyDescent="0.25">
      <c r="A90" s="2">
        <v>43790</v>
      </c>
      <c r="B90" s="1" t="s">
        <v>739</v>
      </c>
      <c r="C90" s="1" t="s">
        <v>740</v>
      </c>
      <c r="D90">
        <v>1</v>
      </c>
      <c r="E90">
        <v>19303.14</v>
      </c>
      <c r="F90">
        <v>19227</v>
      </c>
      <c r="G90">
        <v>3393</v>
      </c>
      <c r="H90" s="8">
        <f>SUM(sales_data[[#This Row],[rand discount]]/sales_data[[#This Row],[total order total]])</f>
        <v>0.17577451129712576</v>
      </c>
      <c r="I90">
        <v>15</v>
      </c>
      <c r="J90">
        <v>76.14</v>
      </c>
      <c r="K90">
        <v>22620</v>
      </c>
      <c r="L90" t="b">
        <v>0</v>
      </c>
      <c r="M90" s="13">
        <v>0.66110000000000002</v>
      </c>
    </row>
    <row r="91" spans="1:13" x14ac:dyDescent="0.25">
      <c r="A91" s="2">
        <v>43767</v>
      </c>
      <c r="B91" s="1" t="s">
        <v>708</v>
      </c>
      <c r="C91" s="1" t="s">
        <v>709</v>
      </c>
      <c r="D91">
        <v>2</v>
      </c>
      <c r="E91">
        <v>19231.88</v>
      </c>
      <c r="F91">
        <v>19159</v>
      </c>
      <c r="G91">
        <v>3381</v>
      </c>
      <c r="H91" s="8">
        <f>SUM(sales_data[[#This Row],[rand discount]]/sales_data[[#This Row],[total order total]])</f>
        <v>0.1758018456853932</v>
      </c>
      <c r="I91">
        <v>15</v>
      </c>
      <c r="J91">
        <v>72.88</v>
      </c>
      <c r="K91">
        <v>22540</v>
      </c>
      <c r="L91" t="b">
        <v>0</v>
      </c>
      <c r="M91" s="13">
        <v>0.3851</v>
      </c>
    </row>
    <row r="92" spans="1:13" x14ac:dyDescent="0.25">
      <c r="A92" s="2">
        <v>43718</v>
      </c>
      <c r="B92" s="1" t="s">
        <v>243</v>
      </c>
      <c r="C92" s="1" t="s">
        <v>244</v>
      </c>
      <c r="D92">
        <v>1</v>
      </c>
      <c r="E92">
        <v>19223.36</v>
      </c>
      <c r="F92">
        <v>19142</v>
      </c>
      <c r="G92">
        <v>3378</v>
      </c>
      <c r="H92" s="8">
        <f>SUM(sales_data[[#This Row],[rand discount]]/sales_data[[#This Row],[total order total]])</f>
        <v>0.17572370282822566</v>
      </c>
      <c r="I92">
        <v>15</v>
      </c>
      <c r="J92">
        <v>81.36</v>
      </c>
      <c r="K92">
        <v>22520</v>
      </c>
      <c r="L92" t="b">
        <v>0</v>
      </c>
      <c r="M92" s="13">
        <v>1.4937</v>
      </c>
    </row>
    <row r="93" spans="1:13" x14ac:dyDescent="0.25">
      <c r="A93" s="2">
        <v>43470</v>
      </c>
      <c r="B93" s="1" t="s">
        <v>62</v>
      </c>
      <c r="C93" s="1" t="s">
        <v>63</v>
      </c>
      <c r="D93">
        <v>3</v>
      </c>
      <c r="E93">
        <v>20346.04</v>
      </c>
      <c r="F93">
        <v>20241</v>
      </c>
      <c r="G93">
        <v>2249</v>
      </c>
      <c r="H93" s="8">
        <f>SUM(sales_data[[#This Row],[rand discount]]/sales_data[[#This Row],[total order total]])</f>
        <v>0.11053748051217829</v>
      </c>
      <c r="I93">
        <v>10</v>
      </c>
      <c r="J93">
        <v>105.04</v>
      </c>
      <c r="K93">
        <v>22490</v>
      </c>
      <c r="L93" t="b">
        <v>1</v>
      </c>
      <c r="M93" s="13">
        <v>2.0425</v>
      </c>
    </row>
    <row r="94" spans="1:13" x14ac:dyDescent="0.25">
      <c r="A94" s="2">
        <v>43569</v>
      </c>
      <c r="B94" s="1" t="s">
        <v>78</v>
      </c>
      <c r="C94" s="1" t="s">
        <v>79</v>
      </c>
      <c r="D94">
        <v>1</v>
      </c>
      <c r="E94">
        <v>19161.09</v>
      </c>
      <c r="F94">
        <v>19091</v>
      </c>
      <c r="G94">
        <v>3369</v>
      </c>
      <c r="H94" s="8">
        <f>SUM(sales_data[[#This Row],[rand discount]]/sales_data[[#This Row],[total order total]])</f>
        <v>0.17582507049442386</v>
      </c>
      <c r="I94">
        <v>15</v>
      </c>
      <c r="J94">
        <v>70.09</v>
      </c>
      <c r="K94">
        <v>22460</v>
      </c>
      <c r="L94" t="b">
        <v>0</v>
      </c>
      <c r="M94" s="13">
        <v>2.2492999999999999</v>
      </c>
    </row>
    <row r="95" spans="1:13" x14ac:dyDescent="0.25">
      <c r="A95" s="2">
        <v>43580</v>
      </c>
      <c r="B95" s="1" t="s">
        <v>253</v>
      </c>
      <c r="C95" s="1" t="s">
        <v>254</v>
      </c>
      <c r="D95">
        <v>3</v>
      </c>
      <c r="E95">
        <v>19144.189999999999</v>
      </c>
      <c r="F95">
        <v>19065.5</v>
      </c>
      <c r="G95">
        <v>3364.5</v>
      </c>
      <c r="H95" s="8">
        <f>SUM(sales_data[[#This Row],[rand discount]]/sales_data[[#This Row],[total order total]])</f>
        <v>0.17574522609731727</v>
      </c>
      <c r="I95">
        <v>15</v>
      </c>
      <c r="J95">
        <v>78.69</v>
      </c>
      <c r="K95">
        <v>22430</v>
      </c>
      <c r="L95" t="b">
        <v>1</v>
      </c>
      <c r="M95" s="13">
        <v>0.57030000000000003</v>
      </c>
    </row>
    <row r="96" spans="1:13" x14ac:dyDescent="0.25">
      <c r="A96" s="2">
        <v>43610</v>
      </c>
      <c r="B96" s="1" t="s">
        <v>1003</v>
      </c>
      <c r="C96" s="1" t="s">
        <v>1004</v>
      </c>
      <c r="D96">
        <v>3</v>
      </c>
      <c r="E96">
        <v>19079.12</v>
      </c>
      <c r="F96">
        <v>19014.5</v>
      </c>
      <c r="G96">
        <v>3355.5</v>
      </c>
      <c r="H96" s="8">
        <f>SUM(sales_data[[#This Row],[rand discount]]/sales_data[[#This Row],[total order total]])</f>
        <v>0.17587289141218254</v>
      </c>
      <c r="I96">
        <v>15</v>
      </c>
      <c r="J96">
        <v>64.62</v>
      </c>
      <c r="K96">
        <v>22370</v>
      </c>
      <c r="L96" t="b">
        <v>1</v>
      </c>
      <c r="M96" s="13">
        <v>0.62770000000000004</v>
      </c>
    </row>
    <row r="97" spans="1:13" x14ac:dyDescent="0.25">
      <c r="A97" s="2">
        <v>43665</v>
      </c>
      <c r="B97" s="1" t="s">
        <v>786</v>
      </c>
      <c r="C97" s="1" t="s">
        <v>787</v>
      </c>
      <c r="D97">
        <v>1</v>
      </c>
      <c r="E97">
        <v>19029.61</v>
      </c>
      <c r="F97">
        <v>18963.5</v>
      </c>
      <c r="G97">
        <v>3346.5</v>
      </c>
      <c r="H97" s="8">
        <f>SUM(sales_data[[#This Row],[rand discount]]/sales_data[[#This Row],[total order total]])</f>
        <v>0.17585751888767032</v>
      </c>
      <c r="I97">
        <v>15</v>
      </c>
      <c r="J97">
        <v>66.11</v>
      </c>
      <c r="K97">
        <v>22310</v>
      </c>
      <c r="L97" t="b">
        <v>0</v>
      </c>
      <c r="M97" s="13">
        <v>0.95589999999999997</v>
      </c>
    </row>
    <row r="98" spans="1:13" x14ac:dyDescent="0.25">
      <c r="A98" s="2">
        <v>43625</v>
      </c>
      <c r="B98" s="1" t="s">
        <v>549</v>
      </c>
      <c r="C98" s="1" t="s">
        <v>550</v>
      </c>
      <c r="D98">
        <v>1</v>
      </c>
      <c r="E98">
        <v>18940.8</v>
      </c>
      <c r="F98">
        <v>18887</v>
      </c>
      <c r="G98">
        <v>3333</v>
      </c>
      <c r="H98" s="8">
        <f>SUM(sales_data[[#This Row],[rand discount]]/sales_data[[#This Row],[total order total]])</f>
        <v>0.17596933603649265</v>
      </c>
      <c r="I98">
        <v>15</v>
      </c>
      <c r="J98">
        <v>53.8</v>
      </c>
      <c r="K98">
        <v>22220</v>
      </c>
      <c r="L98" t="b">
        <v>0</v>
      </c>
      <c r="M98" s="13">
        <v>1.4593</v>
      </c>
    </row>
    <row r="99" spans="1:13" x14ac:dyDescent="0.25">
      <c r="A99" s="2">
        <v>43698</v>
      </c>
      <c r="B99" s="1" t="s">
        <v>303</v>
      </c>
      <c r="C99" s="1" t="s">
        <v>304</v>
      </c>
      <c r="D99">
        <v>2</v>
      </c>
      <c r="E99">
        <v>21132.38</v>
      </c>
      <c r="F99">
        <v>21066.25</v>
      </c>
      <c r="G99">
        <v>1108.75</v>
      </c>
      <c r="H99" s="8">
        <f>SUM(sales_data[[#This Row],[rand discount]]/sales_data[[#This Row],[total order total]])</f>
        <v>5.2466877843385364E-2</v>
      </c>
      <c r="I99">
        <v>5</v>
      </c>
      <c r="J99">
        <v>66.13</v>
      </c>
      <c r="K99">
        <v>22175</v>
      </c>
      <c r="L99" t="b">
        <v>1</v>
      </c>
      <c r="M99" s="13">
        <v>1.4195</v>
      </c>
    </row>
    <row r="100" spans="1:13" x14ac:dyDescent="0.25">
      <c r="A100" s="2">
        <v>43485</v>
      </c>
      <c r="B100" s="1" t="s">
        <v>415</v>
      </c>
      <c r="C100" s="1" t="s">
        <v>416</v>
      </c>
      <c r="D100">
        <v>2</v>
      </c>
      <c r="E100">
        <v>22206.48</v>
      </c>
      <c r="F100">
        <v>22130</v>
      </c>
      <c r="G100">
        <v>0</v>
      </c>
      <c r="H100" s="8">
        <f>SUM(sales_data[[#This Row],[rand discount]]/sales_data[[#This Row],[total order total]])</f>
        <v>0</v>
      </c>
      <c r="I100">
        <v>0</v>
      </c>
      <c r="J100">
        <v>76.48</v>
      </c>
      <c r="K100">
        <v>22130</v>
      </c>
      <c r="L100" t="b">
        <v>0</v>
      </c>
      <c r="M100" s="13">
        <v>1.1345000000000001</v>
      </c>
    </row>
    <row r="101" spans="1:13" x14ac:dyDescent="0.25">
      <c r="A101" s="2">
        <v>43734</v>
      </c>
      <c r="B101" s="1" t="s">
        <v>533</v>
      </c>
      <c r="C101" s="1" t="s">
        <v>534</v>
      </c>
      <c r="D101">
        <v>3</v>
      </c>
      <c r="E101">
        <v>16706.419999999998</v>
      </c>
      <c r="F101">
        <v>16597.5</v>
      </c>
      <c r="G101">
        <v>5532.5</v>
      </c>
      <c r="H101" s="8">
        <f>SUM(sales_data[[#This Row],[rand discount]]/sales_data[[#This Row],[total order total]])</f>
        <v>0.33116011688919594</v>
      </c>
      <c r="I101">
        <v>25</v>
      </c>
      <c r="J101">
        <v>108.92</v>
      </c>
      <c r="K101">
        <v>22130</v>
      </c>
      <c r="L101" t="b">
        <v>1</v>
      </c>
      <c r="M101" s="13">
        <v>1.9564999999999999</v>
      </c>
    </row>
    <row r="102" spans="1:13" x14ac:dyDescent="0.25">
      <c r="A102" s="2">
        <v>43552</v>
      </c>
      <c r="B102" s="1" t="s">
        <v>997</v>
      </c>
      <c r="C102" s="1" t="s">
        <v>998</v>
      </c>
      <c r="D102">
        <v>2</v>
      </c>
      <c r="E102">
        <v>22182.29</v>
      </c>
      <c r="F102">
        <v>22120</v>
      </c>
      <c r="G102">
        <v>0</v>
      </c>
      <c r="H102" s="8">
        <f>SUM(sales_data[[#This Row],[rand discount]]/sales_data[[#This Row],[total order total]])</f>
        <v>0</v>
      </c>
      <c r="I102">
        <v>0</v>
      </c>
      <c r="J102">
        <v>62.29</v>
      </c>
      <c r="K102">
        <v>22120</v>
      </c>
      <c r="L102" t="b">
        <v>1</v>
      </c>
      <c r="M102" s="13">
        <v>0.37109999999999999</v>
      </c>
    </row>
    <row r="103" spans="1:13" x14ac:dyDescent="0.25">
      <c r="A103" s="2">
        <v>43583</v>
      </c>
      <c r="B103" s="1" t="s">
        <v>813</v>
      </c>
      <c r="C103" s="1" t="s">
        <v>814</v>
      </c>
      <c r="D103">
        <v>1</v>
      </c>
      <c r="E103">
        <v>21047.84</v>
      </c>
      <c r="F103">
        <v>20995</v>
      </c>
      <c r="G103">
        <v>1105</v>
      </c>
      <c r="H103" s="8">
        <f>SUM(sales_data[[#This Row],[rand discount]]/sales_data[[#This Row],[total order total]])</f>
        <v>5.2499448874563849E-2</v>
      </c>
      <c r="I103">
        <v>5</v>
      </c>
      <c r="J103">
        <v>52.84</v>
      </c>
      <c r="K103">
        <v>22100</v>
      </c>
      <c r="L103" t="b">
        <v>0</v>
      </c>
      <c r="M103" s="13">
        <v>1.0406</v>
      </c>
    </row>
    <row r="104" spans="1:13" x14ac:dyDescent="0.25">
      <c r="A104" s="2">
        <v>43570</v>
      </c>
      <c r="B104" s="1" t="s">
        <v>796</v>
      </c>
      <c r="C104" s="1" t="s">
        <v>797</v>
      </c>
      <c r="D104">
        <v>1</v>
      </c>
      <c r="E104">
        <v>20963.580000000002</v>
      </c>
      <c r="F104">
        <v>20900</v>
      </c>
      <c r="G104">
        <v>1100</v>
      </c>
      <c r="H104" s="8">
        <f>SUM(sales_data[[#This Row],[rand discount]]/sales_data[[#This Row],[total order total]])</f>
        <v>5.247195374072558E-2</v>
      </c>
      <c r="I104">
        <v>5</v>
      </c>
      <c r="J104">
        <v>63.58</v>
      </c>
      <c r="K104">
        <v>22000</v>
      </c>
      <c r="L104" t="b">
        <v>0</v>
      </c>
      <c r="M104" s="13">
        <v>73.832400000000007</v>
      </c>
    </row>
    <row r="105" spans="1:13" x14ac:dyDescent="0.25">
      <c r="A105" s="2">
        <v>43525</v>
      </c>
      <c r="B105" s="1" t="s">
        <v>68</v>
      </c>
      <c r="C105" s="1" t="s">
        <v>69</v>
      </c>
      <c r="D105">
        <v>1</v>
      </c>
      <c r="E105">
        <v>19626.68</v>
      </c>
      <c r="F105">
        <v>19557</v>
      </c>
      <c r="G105">
        <v>2173</v>
      </c>
      <c r="H105" s="8">
        <f>SUM(sales_data[[#This Row],[rand discount]]/sales_data[[#This Row],[total order total]])</f>
        <v>0.11071663674141526</v>
      </c>
      <c r="I105">
        <v>10</v>
      </c>
      <c r="J105">
        <v>69.680000000000007</v>
      </c>
      <c r="K105">
        <v>21730</v>
      </c>
      <c r="L105" t="b">
        <v>0</v>
      </c>
      <c r="M105" s="13">
        <v>1.4590000000000001</v>
      </c>
    </row>
    <row r="106" spans="1:13" x14ac:dyDescent="0.25">
      <c r="A106" s="2">
        <v>43704</v>
      </c>
      <c r="B106" s="1" t="s">
        <v>629</v>
      </c>
      <c r="C106" s="1" t="s">
        <v>630</v>
      </c>
      <c r="D106">
        <v>1</v>
      </c>
      <c r="E106">
        <v>18417.21</v>
      </c>
      <c r="F106">
        <v>18343</v>
      </c>
      <c r="G106">
        <v>3237</v>
      </c>
      <c r="H106" s="8">
        <f>SUM(sales_data[[#This Row],[rand discount]]/sales_data[[#This Row],[total order total]])</f>
        <v>0.17575952057884989</v>
      </c>
      <c r="I106">
        <v>15</v>
      </c>
      <c r="J106">
        <v>74.209999999999994</v>
      </c>
      <c r="K106">
        <v>21580</v>
      </c>
      <c r="L106" t="b">
        <v>0</v>
      </c>
      <c r="M106" s="13">
        <v>2.5268999999999999</v>
      </c>
    </row>
    <row r="107" spans="1:13" x14ac:dyDescent="0.25">
      <c r="A107" s="2">
        <v>43725</v>
      </c>
      <c r="B107" s="1" t="s">
        <v>461</v>
      </c>
      <c r="C107" s="1" t="s">
        <v>462</v>
      </c>
      <c r="D107">
        <v>1</v>
      </c>
      <c r="E107">
        <v>19473.84</v>
      </c>
      <c r="F107">
        <v>19413</v>
      </c>
      <c r="G107">
        <v>2157</v>
      </c>
      <c r="H107" s="8">
        <f>SUM(sales_data[[#This Row],[rand discount]]/sales_data[[#This Row],[total order total]])</f>
        <v>0.11076397875303484</v>
      </c>
      <c r="I107">
        <v>10</v>
      </c>
      <c r="J107">
        <v>60.84</v>
      </c>
      <c r="K107">
        <v>21570</v>
      </c>
      <c r="L107" t="b">
        <v>0</v>
      </c>
      <c r="M107" s="13">
        <v>0.65500000000000003</v>
      </c>
    </row>
    <row r="108" spans="1:13" x14ac:dyDescent="0.25">
      <c r="A108" s="2">
        <v>43725</v>
      </c>
      <c r="B108" s="1" t="s">
        <v>149</v>
      </c>
      <c r="C108" s="1" t="s">
        <v>150</v>
      </c>
      <c r="D108">
        <v>3</v>
      </c>
      <c r="E108">
        <v>18367.62</v>
      </c>
      <c r="F108">
        <v>18275</v>
      </c>
      <c r="G108">
        <v>3225</v>
      </c>
      <c r="H108" s="8">
        <f>SUM(sales_data[[#This Row],[rand discount]]/sales_data[[#This Row],[total order total]])</f>
        <v>0.17558072303325092</v>
      </c>
      <c r="I108">
        <v>15</v>
      </c>
      <c r="J108">
        <v>92.62</v>
      </c>
      <c r="K108">
        <v>21500</v>
      </c>
      <c r="L108" t="b">
        <v>1</v>
      </c>
      <c r="M108" s="13">
        <v>1.7565999999999999</v>
      </c>
    </row>
    <row r="109" spans="1:13" x14ac:dyDescent="0.25">
      <c r="A109" s="2">
        <v>43653</v>
      </c>
      <c r="B109" s="1" t="s">
        <v>457</v>
      </c>
      <c r="C109" s="1" t="s">
        <v>458</v>
      </c>
      <c r="D109">
        <v>2</v>
      </c>
      <c r="E109">
        <v>18220.64</v>
      </c>
      <c r="F109">
        <v>18147.5</v>
      </c>
      <c r="G109">
        <v>3202.5</v>
      </c>
      <c r="H109" s="8">
        <f>SUM(sales_data[[#This Row],[rand discount]]/sales_data[[#This Row],[total order total]])</f>
        <v>0.17576221252381916</v>
      </c>
      <c r="I109">
        <v>15</v>
      </c>
      <c r="J109">
        <v>73.14</v>
      </c>
      <c r="K109">
        <v>21350</v>
      </c>
      <c r="L109" t="b">
        <v>1</v>
      </c>
      <c r="M109" s="13">
        <v>0.30649999999999999</v>
      </c>
    </row>
    <row r="110" spans="1:13" x14ac:dyDescent="0.25">
      <c r="A110" s="2">
        <v>43756</v>
      </c>
      <c r="B110" s="1" t="s">
        <v>704</v>
      </c>
      <c r="C110" s="1" t="s">
        <v>705</v>
      </c>
      <c r="D110">
        <v>1</v>
      </c>
      <c r="E110">
        <v>21408.58</v>
      </c>
      <c r="F110">
        <v>21310</v>
      </c>
      <c r="G110">
        <v>0</v>
      </c>
      <c r="H110" s="8">
        <f>SUM(sales_data[[#This Row],[rand discount]]/sales_data[[#This Row],[total order total]])</f>
        <v>0</v>
      </c>
      <c r="I110">
        <v>0</v>
      </c>
      <c r="J110">
        <v>98.58</v>
      </c>
      <c r="K110">
        <v>21310</v>
      </c>
      <c r="L110" t="b">
        <v>1</v>
      </c>
      <c r="M110" s="13">
        <v>0.39929999999999999</v>
      </c>
    </row>
    <row r="111" spans="1:13" x14ac:dyDescent="0.25">
      <c r="A111" s="2">
        <v>43610</v>
      </c>
      <c r="B111" s="1" t="s">
        <v>927</v>
      </c>
      <c r="C111" s="1" t="s">
        <v>928</v>
      </c>
      <c r="D111">
        <v>3</v>
      </c>
      <c r="E111">
        <v>21350.5</v>
      </c>
      <c r="F111">
        <v>21285</v>
      </c>
      <c r="G111">
        <v>0</v>
      </c>
      <c r="H111" s="8">
        <f>SUM(sales_data[[#This Row],[rand discount]]/sales_data[[#This Row],[total order total]])</f>
        <v>0</v>
      </c>
      <c r="I111">
        <v>0</v>
      </c>
      <c r="J111">
        <v>65.5</v>
      </c>
      <c r="K111">
        <v>21285</v>
      </c>
      <c r="L111" t="b">
        <v>0</v>
      </c>
      <c r="M111" s="13">
        <v>0.53749999999999998</v>
      </c>
    </row>
    <row r="112" spans="1:13" x14ac:dyDescent="0.25">
      <c r="A112" s="2">
        <v>43763</v>
      </c>
      <c r="B112" s="1" t="s">
        <v>279</v>
      </c>
      <c r="C112" s="1" t="s">
        <v>280</v>
      </c>
      <c r="D112">
        <v>2</v>
      </c>
      <c r="E112">
        <v>21270.61</v>
      </c>
      <c r="F112">
        <v>21210</v>
      </c>
      <c r="G112">
        <v>0</v>
      </c>
      <c r="H112" s="8">
        <f>SUM(sales_data[[#This Row],[rand discount]]/sales_data[[#This Row],[total order total]])</f>
        <v>0</v>
      </c>
      <c r="I112">
        <v>0</v>
      </c>
      <c r="J112">
        <v>60.61</v>
      </c>
      <c r="K112">
        <v>21210</v>
      </c>
      <c r="L112" t="b">
        <v>0</v>
      </c>
      <c r="M112" s="13">
        <v>0.86899999999999999</v>
      </c>
    </row>
    <row r="113" spans="1:13" x14ac:dyDescent="0.25">
      <c r="A113" s="2">
        <v>43586</v>
      </c>
      <c r="B113" s="1" t="s">
        <v>563</v>
      </c>
      <c r="C113" s="1" t="s">
        <v>564</v>
      </c>
      <c r="D113">
        <v>1</v>
      </c>
      <c r="E113">
        <v>18077.990000000002</v>
      </c>
      <c r="F113">
        <v>18011.5</v>
      </c>
      <c r="G113">
        <v>3178.5</v>
      </c>
      <c r="H113" s="8">
        <f>SUM(sales_data[[#This Row],[rand discount]]/sales_data[[#This Row],[total order total]])</f>
        <v>0.17582153768200998</v>
      </c>
      <c r="I113">
        <v>15</v>
      </c>
      <c r="J113">
        <v>66.489999999999995</v>
      </c>
      <c r="K113">
        <v>21190</v>
      </c>
      <c r="L113" t="b">
        <v>0</v>
      </c>
      <c r="M113" s="13">
        <v>1.0325</v>
      </c>
    </row>
    <row r="114" spans="1:13" x14ac:dyDescent="0.25">
      <c r="A114" s="2">
        <v>43593</v>
      </c>
      <c r="B114" s="1" t="s">
        <v>874</v>
      </c>
      <c r="C114" s="1" t="s">
        <v>875</v>
      </c>
      <c r="D114">
        <v>3</v>
      </c>
      <c r="E114">
        <v>18085.37</v>
      </c>
      <c r="F114">
        <v>18003</v>
      </c>
      <c r="G114">
        <v>3177</v>
      </c>
      <c r="H114" s="8">
        <f>SUM(sales_data[[#This Row],[rand discount]]/sales_data[[#This Row],[total order total]])</f>
        <v>0.17566685116201661</v>
      </c>
      <c r="I114">
        <v>15</v>
      </c>
      <c r="J114">
        <v>82.37</v>
      </c>
      <c r="K114">
        <v>21180</v>
      </c>
      <c r="L114" t="b">
        <v>1</v>
      </c>
      <c r="M114" s="13">
        <v>1.6226</v>
      </c>
    </row>
    <row r="115" spans="1:13" x14ac:dyDescent="0.25">
      <c r="A115" s="2">
        <v>43520</v>
      </c>
      <c r="B115" s="1" t="s">
        <v>702</v>
      </c>
      <c r="C115" s="1" t="s">
        <v>703</v>
      </c>
      <c r="D115">
        <v>1</v>
      </c>
      <c r="E115">
        <v>17918.91</v>
      </c>
      <c r="F115">
        <v>17837.25</v>
      </c>
      <c r="G115">
        <v>3147.75</v>
      </c>
      <c r="H115" s="8">
        <f>SUM(sales_data[[#This Row],[rand discount]]/sales_data[[#This Row],[total order total]])</f>
        <v>0.17566637702851345</v>
      </c>
      <c r="I115">
        <v>15</v>
      </c>
      <c r="J115">
        <v>81.66</v>
      </c>
      <c r="K115">
        <v>20985</v>
      </c>
      <c r="L115" t="b">
        <v>0</v>
      </c>
      <c r="M115" s="13">
        <v>1.6071</v>
      </c>
    </row>
    <row r="116" spans="1:13" x14ac:dyDescent="0.25">
      <c r="A116" s="2">
        <v>43573</v>
      </c>
      <c r="B116" s="1" t="s">
        <v>741</v>
      </c>
      <c r="C116" s="1" t="s">
        <v>742</v>
      </c>
      <c r="D116">
        <v>1</v>
      </c>
      <c r="E116">
        <v>17862.009999999998</v>
      </c>
      <c r="F116">
        <v>17794.75</v>
      </c>
      <c r="G116">
        <v>3140.25</v>
      </c>
      <c r="H116" s="8">
        <f>SUM(sales_data[[#This Row],[rand discount]]/sales_data[[#This Row],[total order total]])</f>
        <v>0.17580608229420991</v>
      </c>
      <c r="I116">
        <v>15</v>
      </c>
      <c r="J116">
        <v>67.260000000000005</v>
      </c>
      <c r="K116">
        <v>20935</v>
      </c>
      <c r="L116" t="b">
        <v>0</v>
      </c>
      <c r="M116" s="13">
        <v>1.6327</v>
      </c>
    </row>
    <row r="117" spans="1:13" x14ac:dyDescent="0.25">
      <c r="A117" s="2">
        <v>43578</v>
      </c>
      <c r="B117" s="1" t="s">
        <v>537</v>
      </c>
      <c r="C117" s="1" t="s">
        <v>538</v>
      </c>
      <c r="D117">
        <v>1</v>
      </c>
      <c r="E117">
        <v>17811.93</v>
      </c>
      <c r="F117">
        <v>17731</v>
      </c>
      <c r="G117">
        <v>3129</v>
      </c>
      <c r="H117" s="8">
        <f>SUM(sales_data[[#This Row],[rand discount]]/sales_data[[#This Row],[total order total]])</f>
        <v>0.17566877929567429</v>
      </c>
      <c r="I117">
        <v>15</v>
      </c>
      <c r="J117">
        <v>80.930000000000007</v>
      </c>
      <c r="K117">
        <v>20860</v>
      </c>
      <c r="L117" t="b">
        <v>1</v>
      </c>
      <c r="M117" s="13">
        <v>0.84499999999999997</v>
      </c>
    </row>
    <row r="118" spans="1:13" x14ac:dyDescent="0.25">
      <c r="A118" s="2">
        <v>43602</v>
      </c>
      <c r="B118" s="1" t="s">
        <v>971</v>
      </c>
      <c r="C118" s="1" t="s">
        <v>972</v>
      </c>
      <c r="D118">
        <v>1</v>
      </c>
      <c r="E118">
        <v>20812.669999999998</v>
      </c>
      <c r="F118">
        <v>20745</v>
      </c>
      <c r="G118">
        <v>0</v>
      </c>
      <c r="H118" s="8">
        <f>SUM(sales_data[[#This Row],[rand discount]]/sales_data[[#This Row],[total order total]])</f>
        <v>0</v>
      </c>
      <c r="I118">
        <v>0</v>
      </c>
      <c r="J118">
        <v>67.67</v>
      </c>
      <c r="K118">
        <v>20745</v>
      </c>
      <c r="L118" t="b">
        <v>0</v>
      </c>
      <c r="M118" s="13">
        <v>1.2259</v>
      </c>
    </row>
    <row r="119" spans="1:13" x14ac:dyDescent="0.25">
      <c r="A119" s="2">
        <v>43786</v>
      </c>
      <c r="B119" s="1" t="s">
        <v>794</v>
      </c>
      <c r="C119" s="1" t="s">
        <v>795</v>
      </c>
      <c r="D119">
        <v>3</v>
      </c>
      <c r="E119">
        <v>17638.330000000002</v>
      </c>
      <c r="F119">
        <v>17561</v>
      </c>
      <c r="G119">
        <v>3099</v>
      </c>
      <c r="H119" s="8">
        <f>SUM(sales_data[[#This Row],[rand discount]]/sales_data[[#This Row],[total order total]])</f>
        <v>0.17569690554604658</v>
      </c>
      <c r="I119">
        <v>15</v>
      </c>
      <c r="J119">
        <v>77.33</v>
      </c>
      <c r="K119">
        <v>20660</v>
      </c>
      <c r="L119" t="b">
        <v>0</v>
      </c>
      <c r="M119" s="13">
        <v>1.2284999999999999</v>
      </c>
    </row>
    <row r="120" spans="1:13" x14ac:dyDescent="0.25">
      <c r="A120" s="2">
        <v>43694</v>
      </c>
      <c r="B120" s="1" t="s">
        <v>716</v>
      </c>
      <c r="C120" s="1" t="s">
        <v>717</v>
      </c>
      <c r="D120">
        <v>2</v>
      </c>
      <c r="E120">
        <v>19687.21</v>
      </c>
      <c r="F120">
        <v>19622.25</v>
      </c>
      <c r="G120">
        <v>1032.75</v>
      </c>
      <c r="H120" s="8">
        <f>SUM(sales_data[[#This Row],[rand discount]]/sales_data[[#This Row],[total order total]])</f>
        <v>5.2457915570565866E-2</v>
      </c>
      <c r="I120">
        <v>5</v>
      </c>
      <c r="J120">
        <v>64.959999999999994</v>
      </c>
      <c r="K120">
        <v>20655</v>
      </c>
      <c r="L120" t="b">
        <v>0</v>
      </c>
      <c r="M120" s="13">
        <v>1.1763999999999999</v>
      </c>
    </row>
    <row r="121" spans="1:13" x14ac:dyDescent="0.25">
      <c r="A121" s="2">
        <v>43505</v>
      </c>
      <c r="B121" s="1" t="s">
        <v>677</v>
      </c>
      <c r="C121" s="1" t="s">
        <v>678</v>
      </c>
      <c r="D121">
        <v>2</v>
      </c>
      <c r="E121">
        <v>15537.01</v>
      </c>
      <c r="F121">
        <v>15450</v>
      </c>
      <c r="G121">
        <v>5150</v>
      </c>
      <c r="H121" s="8">
        <f>SUM(sales_data[[#This Row],[rand discount]]/sales_data[[#This Row],[total order total]])</f>
        <v>0.33146660779648079</v>
      </c>
      <c r="I121">
        <v>25</v>
      </c>
      <c r="J121">
        <v>87.01</v>
      </c>
      <c r="K121">
        <v>20600</v>
      </c>
      <c r="L121" t="b">
        <v>0</v>
      </c>
      <c r="M121" s="13">
        <v>2.1958000000000002</v>
      </c>
    </row>
    <row r="122" spans="1:13" x14ac:dyDescent="0.25">
      <c r="A122" s="2">
        <v>43523</v>
      </c>
      <c r="B122" s="1" t="s">
        <v>501</v>
      </c>
      <c r="C122" s="1" t="s">
        <v>502</v>
      </c>
      <c r="D122">
        <v>1</v>
      </c>
      <c r="E122">
        <v>17538.740000000002</v>
      </c>
      <c r="F122">
        <v>17454.75</v>
      </c>
      <c r="G122">
        <v>3080.25</v>
      </c>
      <c r="H122" s="8">
        <f>SUM(sales_data[[#This Row],[rand discount]]/sales_data[[#This Row],[total order total]])</f>
        <v>0.17562550103371163</v>
      </c>
      <c r="I122">
        <v>15</v>
      </c>
      <c r="J122">
        <v>83.99</v>
      </c>
      <c r="K122">
        <v>20535</v>
      </c>
      <c r="L122" t="b">
        <v>1</v>
      </c>
      <c r="M122" s="13">
        <v>1.4107000000000001</v>
      </c>
    </row>
    <row r="123" spans="1:13" x14ac:dyDescent="0.25">
      <c r="A123" s="2">
        <v>43472</v>
      </c>
      <c r="B123" s="1" t="s">
        <v>185</v>
      </c>
      <c r="C123" s="1" t="s">
        <v>186</v>
      </c>
      <c r="D123">
        <v>3</v>
      </c>
      <c r="E123">
        <v>15448.61</v>
      </c>
      <c r="F123">
        <v>15390</v>
      </c>
      <c r="G123">
        <v>5130</v>
      </c>
      <c r="H123" s="8">
        <f>SUM(sales_data[[#This Row],[rand discount]]/sales_data[[#This Row],[total order total]])</f>
        <v>0.33206871038883107</v>
      </c>
      <c r="I123">
        <v>25</v>
      </c>
      <c r="J123">
        <v>58.61</v>
      </c>
      <c r="K123">
        <v>20520</v>
      </c>
      <c r="L123" t="b">
        <v>0</v>
      </c>
      <c r="M123" s="13">
        <v>0.82830000000000004</v>
      </c>
    </row>
    <row r="124" spans="1:13" x14ac:dyDescent="0.25">
      <c r="A124" s="2">
        <v>43758</v>
      </c>
      <c r="B124" s="1" t="s">
        <v>469</v>
      </c>
      <c r="C124" s="1" t="s">
        <v>470</v>
      </c>
      <c r="D124">
        <v>2</v>
      </c>
      <c r="E124">
        <v>18559.72</v>
      </c>
      <c r="F124">
        <v>18459</v>
      </c>
      <c r="G124">
        <v>2051</v>
      </c>
      <c r="H124" s="8">
        <f>SUM(sales_data[[#This Row],[rand discount]]/sales_data[[#This Row],[total order total]])</f>
        <v>0.11050813266579453</v>
      </c>
      <c r="I124">
        <v>10</v>
      </c>
      <c r="J124">
        <v>100.72</v>
      </c>
      <c r="K124">
        <v>20510</v>
      </c>
      <c r="L124" t="b">
        <v>1</v>
      </c>
      <c r="M124" s="13">
        <v>0.76859999999999995</v>
      </c>
    </row>
    <row r="125" spans="1:13" x14ac:dyDescent="0.25">
      <c r="A125" s="2">
        <v>43544</v>
      </c>
      <c r="B125" s="1" t="s">
        <v>671</v>
      </c>
      <c r="C125" s="1" t="s">
        <v>672</v>
      </c>
      <c r="D125">
        <v>1</v>
      </c>
      <c r="E125">
        <v>20566.240000000002</v>
      </c>
      <c r="F125">
        <v>20500</v>
      </c>
      <c r="G125">
        <v>0</v>
      </c>
      <c r="H125" s="8">
        <f>SUM(sales_data[[#This Row],[rand discount]]/sales_data[[#This Row],[total order total]])</f>
        <v>0</v>
      </c>
      <c r="I125">
        <v>0</v>
      </c>
      <c r="J125">
        <v>66.239999999999995</v>
      </c>
      <c r="K125">
        <v>20500</v>
      </c>
      <c r="L125" t="b">
        <v>0</v>
      </c>
      <c r="M125" s="13">
        <v>1.331</v>
      </c>
    </row>
    <row r="126" spans="1:13" x14ac:dyDescent="0.25">
      <c r="A126" s="2">
        <v>43619</v>
      </c>
      <c r="B126" s="1" t="s">
        <v>109</v>
      </c>
      <c r="C126" s="1" t="s">
        <v>110</v>
      </c>
      <c r="D126">
        <v>1</v>
      </c>
      <c r="E126">
        <v>19420.810000000001</v>
      </c>
      <c r="F126">
        <v>19342</v>
      </c>
      <c r="G126">
        <v>1018</v>
      </c>
      <c r="H126" s="8">
        <f>SUM(sales_data[[#This Row],[rand discount]]/sales_data[[#This Row],[total order total]])</f>
        <v>5.2417999043294278E-2</v>
      </c>
      <c r="I126">
        <v>5</v>
      </c>
      <c r="J126">
        <v>78.81</v>
      </c>
      <c r="K126">
        <v>20360</v>
      </c>
      <c r="L126" t="b">
        <v>1</v>
      </c>
      <c r="M126" s="13">
        <v>1.1721999999999999</v>
      </c>
    </row>
    <row r="127" spans="1:13" x14ac:dyDescent="0.25">
      <c r="A127" s="2">
        <v>43564</v>
      </c>
      <c r="B127" s="1" t="s">
        <v>577</v>
      </c>
      <c r="C127" s="1" t="s">
        <v>578</v>
      </c>
      <c r="D127">
        <v>1</v>
      </c>
      <c r="E127">
        <v>18391.54</v>
      </c>
      <c r="F127">
        <v>18324</v>
      </c>
      <c r="G127">
        <v>2036</v>
      </c>
      <c r="H127" s="8">
        <f>SUM(sales_data[[#This Row],[rand discount]]/sales_data[[#This Row],[total order total]])</f>
        <v>0.11070307326085797</v>
      </c>
      <c r="I127">
        <v>10</v>
      </c>
      <c r="J127">
        <v>67.540000000000006</v>
      </c>
      <c r="K127">
        <v>20360</v>
      </c>
      <c r="L127" t="b">
        <v>0</v>
      </c>
      <c r="M127" s="13">
        <v>1.6597999999999999</v>
      </c>
    </row>
    <row r="128" spans="1:13" x14ac:dyDescent="0.25">
      <c r="A128" s="2">
        <v>43754</v>
      </c>
      <c r="B128" s="1" t="s">
        <v>833</v>
      </c>
      <c r="C128" s="1" t="s">
        <v>834</v>
      </c>
      <c r="D128">
        <v>2</v>
      </c>
      <c r="E128">
        <v>17372.89</v>
      </c>
      <c r="F128">
        <v>17297.5</v>
      </c>
      <c r="G128">
        <v>3052.5</v>
      </c>
      <c r="H128" s="8">
        <f>SUM(sales_data[[#This Row],[rand discount]]/sales_data[[#This Row],[total order total]])</f>
        <v>0.17570479062493344</v>
      </c>
      <c r="I128">
        <v>15</v>
      </c>
      <c r="J128">
        <v>75.39</v>
      </c>
      <c r="K128">
        <v>20350</v>
      </c>
      <c r="L128" t="b">
        <v>0</v>
      </c>
      <c r="M128" s="13">
        <v>0.53569999999999995</v>
      </c>
    </row>
    <row r="129" spans="1:13" x14ac:dyDescent="0.25">
      <c r="A129" s="2">
        <v>43592</v>
      </c>
      <c r="B129" s="1" t="s">
        <v>753</v>
      </c>
      <c r="C129" s="1" t="s">
        <v>754</v>
      </c>
      <c r="D129">
        <v>2</v>
      </c>
      <c r="E129">
        <v>20363.68</v>
      </c>
      <c r="F129">
        <v>20300</v>
      </c>
      <c r="G129">
        <v>0</v>
      </c>
      <c r="H129" s="8">
        <f>SUM(sales_data[[#This Row],[rand discount]]/sales_data[[#This Row],[total order total]])</f>
        <v>0</v>
      </c>
      <c r="I129">
        <v>0</v>
      </c>
      <c r="J129">
        <v>63.68</v>
      </c>
      <c r="K129">
        <v>20300</v>
      </c>
      <c r="L129" t="b">
        <v>0</v>
      </c>
      <c r="M129" s="13">
        <v>0.154</v>
      </c>
    </row>
    <row r="130" spans="1:13" x14ac:dyDescent="0.25">
      <c r="A130" s="2">
        <v>43602</v>
      </c>
      <c r="B130" s="1" t="s">
        <v>40</v>
      </c>
      <c r="C130" s="1" t="s">
        <v>41</v>
      </c>
      <c r="D130">
        <v>3</v>
      </c>
      <c r="E130">
        <v>15196.35</v>
      </c>
      <c r="F130">
        <v>15150</v>
      </c>
      <c r="G130">
        <v>5050</v>
      </c>
      <c r="H130" s="8">
        <f>SUM(sales_data[[#This Row],[rand discount]]/sales_data[[#This Row],[total order total]])</f>
        <v>0.33231664182517512</v>
      </c>
      <c r="I130">
        <v>25</v>
      </c>
      <c r="J130">
        <v>46.35</v>
      </c>
      <c r="K130">
        <v>20200</v>
      </c>
      <c r="L130" t="b">
        <v>0</v>
      </c>
      <c r="M130" s="13">
        <v>0.77059999999999995</v>
      </c>
    </row>
    <row r="131" spans="1:13" x14ac:dyDescent="0.25">
      <c r="A131" s="2">
        <v>43667</v>
      </c>
      <c r="B131" s="1" t="s">
        <v>567</v>
      </c>
      <c r="C131" s="1" t="s">
        <v>568</v>
      </c>
      <c r="D131">
        <v>2</v>
      </c>
      <c r="E131">
        <v>20265.84</v>
      </c>
      <c r="F131">
        <v>20200</v>
      </c>
      <c r="G131">
        <v>0</v>
      </c>
      <c r="H131" s="8">
        <f>SUM(sales_data[[#This Row],[rand discount]]/sales_data[[#This Row],[total order total]])</f>
        <v>0</v>
      </c>
      <c r="I131">
        <v>0</v>
      </c>
      <c r="J131">
        <v>65.84</v>
      </c>
      <c r="K131">
        <v>20200</v>
      </c>
      <c r="L131" t="b">
        <v>0</v>
      </c>
      <c r="M131" s="13">
        <v>0.88549999999999995</v>
      </c>
    </row>
    <row r="132" spans="1:13" x14ac:dyDescent="0.25">
      <c r="A132" s="2">
        <v>43677</v>
      </c>
      <c r="B132" s="1" t="s">
        <v>333</v>
      </c>
      <c r="C132" s="1" t="s">
        <v>334</v>
      </c>
      <c r="D132">
        <v>2</v>
      </c>
      <c r="E132">
        <v>15107.09</v>
      </c>
      <c r="F132">
        <v>15030</v>
      </c>
      <c r="G132">
        <v>5010</v>
      </c>
      <c r="H132" s="8">
        <f>SUM(sales_data[[#This Row],[rand discount]]/sales_data[[#This Row],[total order total]])</f>
        <v>0.33163236599503942</v>
      </c>
      <c r="I132">
        <v>25</v>
      </c>
      <c r="J132">
        <v>77.09</v>
      </c>
      <c r="K132">
        <v>20040</v>
      </c>
      <c r="L132" t="b">
        <v>1</v>
      </c>
      <c r="M132" s="13">
        <v>0.79800000000000004</v>
      </c>
    </row>
    <row r="133" spans="1:13" x14ac:dyDescent="0.25">
      <c r="A133" s="2">
        <v>43818</v>
      </c>
      <c r="B133" s="1" t="s">
        <v>351</v>
      </c>
      <c r="C133" s="1" t="s">
        <v>352</v>
      </c>
      <c r="D133">
        <v>1</v>
      </c>
      <c r="E133">
        <v>17950.79</v>
      </c>
      <c r="F133">
        <v>17874</v>
      </c>
      <c r="G133">
        <v>1986</v>
      </c>
      <c r="H133" s="8">
        <f>SUM(sales_data[[#This Row],[rand discount]]/sales_data[[#This Row],[total order total]])</f>
        <v>0.11063579931579612</v>
      </c>
      <c r="I133">
        <v>10</v>
      </c>
      <c r="J133">
        <v>76.790000000000006</v>
      </c>
      <c r="K133">
        <v>19860</v>
      </c>
      <c r="L133" t="b">
        <v>0</v>
      </c>
      <c r="M133" s="13">
        <v>1.0489999999999999</v>
      </c>
    </row>
    <row r="134" spans="1:13" x14ac:dyDescent="0.25">
      <c r="A134" s="2">
        <v>43710</v>
      </c>
      <c r="B134" s="1" t="s">
        <v>443</v>
      </c>
      <c r="C134" s="1" t="s">
        <v>444</v>
      </c>
      <c r="D134">
        <v>3</v>
      </c>
      <c r="E134">
        <v>18920.34</v>
      </c>
      <c r="F134">
        <v>18829</v>
      </c>
      <c r="G134">
        <v>991</v>
      </c>
      <c r="H134" s="8">
        <f>SUM(sales_data[[#This Row],[rand discount]]/sales_data[[#This Row],[total order total]])</f>
        <v>5.2377494273358721E-2</v>
      </c>
      <c r="I134">
        <v>5</v>
      </c>
      <c r="J134">
        <v>91.34</v>
      </c>
      <c r="K134">
        <v>19820</v>
      </c>
      <c r="L134" t="b">
        <v>1</v>
      </c>
      <c r="M134" s="13">
        <v>1.5637000000000001</v>
      </c>
    </row>
    <row r="135" spans="1:13" x14ac:dyDescent="0.25">
      <c r="A135" s="2">
        <v>43823</v>
      </c>
      <c r="B135" s="1" t="s">
        <v>36</v>
      </c>
      <c r="C135" s="1" t="s">
        <v>37</v>
      </c>
      <c r="D135">
        <v>2</v>
      </c>
      <c r="E135">
        <v>19785.64</v>
      </c>
      <c r="F135">
        <v>19710</v>
      </c>
      <c r="G135">
        <v>0</v>
      </c>
      <c r="H135" s="8">
        <f>SUM(sales_data[[#This Row],[rand discount]]/sales_data[[#This Row],[total order total]])</f>
        <v>0</v>
      </c>
      <c r="I135">
        <v>0</v>
      </c>
      <c r="J135">
        <v>75.64</v>
      </c>
      <c r="K135">
        <v>19710</v>
      </c>
      <c r="L135" t="b">
        <v>1</v>
      </c>
      <c r="M135" s="13">
        <v>0.5716</v>
      </c>
    </row>
    <row r="136" spans="1:13" x14ac:dyDescent="0.25">
      <c r="A136" s="2">
        <v>43580</v>
      </c>
      <c r="B136" s="1" t="s">
        <v>137</v>
      </c>
      <c r="C136" s="1" t="s">
        <v>138</v>
      </c>
      <c r="D136">
        <v>2</v>
      </c>
      <c r="E136">
        <v>14845.8</v>
      </c>
      <c r="F136">
        <v>14782.5</v>
      </c>
      <c r="G136">
        <v>4927.5</v>
      </c>
      <c r="H136" s="8">
        <f>SUM(sales_data[[#This Row],[rand discount]]/sales_data[[#This Row],[total order total]])</f>
        <v>0.33191205593501194</v>
      </c>
      <c r="I136">
        <v>25</v>
      </c>
      <c r="J136">
        <v>63.3</v>
      </c>
      <c r="K136">
        <v>19710</v>
      </c>
      <c r="L136" t="b">
        <v>1</v>
      </c>
      <c r="M136" s="13">
        <v>0.68510000000000004</v>
      </c>
    </row>
    <row r="137" spans="1:13" x14ac:dyDescent="0.25">
      <c r="A137" s="2">
        <v>43617</v>
      </c>
      <c r="B137" s="1" t="s">
        <v>311</v>
      </c>
      <c r="C137" s="1" t="s">
        <v>312</v>
      </c>
      <c r="D137">
        <v>3</v>
      </c>
      <c r="E137">
        <v>19761.84</v>
      </c>
      <c r="F137">
        <v>19710</v>
      </c>
      <c r="G137">
        <v>0</v>
      </c>
      <c r="H137" s="8">
        <f>SUM(sales_data[[#This Row],[rand discount]]/sales_data[[#This Row],[total order total]])</f>
        <v>0</v>
      </c>
      <c r="I137">
        <v>0</v>
      </c>
      <c r="J137">
        <v>51.84</v>
      </c>
      <c r="K137">
        <v>19710</v>
      </c>
      <c r="L137" t="b">
        <v>0</v>
      </c>
      <c r="M137" s="13">
        <v>1.1126</v>
      </c>
    </row>
    <row r="138" spans="1:13" x14ac:dyDescent="0.25">
      <c r="A138" s="2">
        <v>43786</v>
      </c>
      <c r="B138" s="1" t="s">
        <v>831</v>
      </c>
      <c r="C138" s="1" t="s">
        <v>832</v>
      </c>
      <c r="D138">
        <v>2</v>
      </c>
      <c r="E138">
        <v>17806.7</v>
      </c>
      <c r="F138">
        <v>17703</v>
      </c>
      <c r="G138">
        <v>1967</v>
      </c>
      <c r="H138" s="8">
        <f>SUM(sales_data[[#This Row],[rand discount]]/sales_data[[#This Row],[total order total]])</f>
        <v>0.11046403881684984</v>
      </c>
      <c r="I138">
        <v>10</v>
      </c>
      <c r="J138">
        <v>103.7</v>
      </c>
      <c r="K138">
        <v>19670</v>
      </c>
      <c r="L138" t="b">
        <v>1</v>
      </c>
      <c r="M138" s="13">
        <v>1.244</v>
      </c>
    </row>
    <row r="139" spans="1:13" x14ac:dyDescent="0.25">
      <c r="A139" s="2">
        <v>43476</v>
      </c>
      <c r="B139" s="1" t="s">
        <v>607</v>
      </c>
      <c r="C139" s="1" t="s">
        <v>608</v>
      </c>
      <c r="D139">
        <v>1</v>
      </c>
      <c r="E139">
        <v>14827.6</v>
      </c>
      <c r="F139">
        <v>14748.75</v>
      </c>
      <c r="G139">
        <v>4916.25</v>
      </c>
      <c r="H139" s="8">
        <f>SUM(sales_data[[#This Row],[rand discount]]/sales_data[[#This Row],[total order total]])</f>
        <v>0.33156073808303432</v>
      </c>
      <c r="I139">
        <v>25</v>
      </c>
      <c r="J139">
        <v>78.849999999999994</v>
      </c>
      <c r="K139">
        <v>19665</v>
      </c>
      <c r="L139" t="b">
        <v>1</v>
      </c>
      <c r="M139" s="13">
        <v>0.73850000000000005</v>
      </c>
    </row>
    <row r="140" spans="1:13" x14ac:dyDescent="0.25">
      <c r="A140" s="2">
        <v>43718</v>
      </c>
      <c r="B140" s="1" t="s">
        <v>551</v>
      </c>
      <c r="C140" s="1" t="s">
        <v>552</v>
      </c>
      <c r="D140">
        <v>1</v>
      </c>
      <c r="E140">
        <v>17686.439999999999</v>
      </c>
      <c r="F140">
        <v>17604</v>
      </c>
      <c r="G140">
        <v>1956</v>
      </c>
      <c r="H140" s="8">
        <f>SUM(sales_data[[#This Row],[rand discount]]/sales_data[[#This Row],[total order total]])</f>
        <v>0.11059320021440155</v>
      </c>
      <c r="I140">
        <v>10</v>
      </c>
      <c r="J140">
        <v>82.44</v>
      </c>
      <c r="K140">
        <v>19560</v>
      </c>
      <c r="L140" t="b">
        <v>0</v>
      </c>
      <c r="M140" s="13">
        <v>1.4036999999999999</v>
      </c>
    </row>
    <row r="141" spans="1:13" x14ac:dyDescent="0.25">
      <c r="A141" s="2">
        <v>43772</v>
      </c>
      <c r="B141" s="1" t="s">
        <v>445</v>
      </c>
      <c r="C141" s="1" t="s">
        <v>446</v>
      </c>
      <c r="D141">
        <v>2</v>
      </c>
      <c r="E141">
        <v>19622.32</v>
      </c>
      <c r="F141">
        <v>19525</v>
      </c>
      <c r="G141">
        <v>0</v>
      </c>
      <c r="H141" s="8">
        <f>SUM(sales_data[[#This Row],[rand discount]]/sales_data[[#This Row],[total order total]])</f>
        <v>0</v>
      </c>
      <c r="I141">
        <v>0</v>
      </c>
      <c r="J141">
        <v>97.32</v>
      </c>
      <c r="K141">
        <v>19525</v>
      </c>
      <c r="L141" t="b">
        <v>1</v>
      </c>
      <c r="M141" s="13">
        <v>0.4</v>
      </c>
    </row>
    <row r="142" spans="1:13" x14ac:dyDescent="0.25">
      <c r="A142" s="2">
        <v>43735</v>
      </c>
      <c r="B142" s="1" t="s">
        <v>823</v>
      </c>
      <c r="C142" s="1" t="s">
        <v>824</v>
      </c>
      <c r="D142">
        <v>1</v>
      </c>
      <c r="E142">
        <v>16680.169999999998</v>
      </c>
      <c r="F142">
        <v>16592</v>
      </c>
      <c r="G142">
        <v>2928</v>
      </c>
      <c r="H142" s="8">
        <f>SUM(sales_data[[#This Row],[rand discount]]/sales_data[[#This Row],[total order total]])</f>
        <v>0.17553777929121828</v>
      </c>
      <c r="I142">
        <v>15</v>
      </c>
      <c r="J142">
        <v>88.17</v>
      </c>
      <c r="K142">
        <v>19520</v>
      </c>
      <c r="L142" t="b">
        <v>1</v>
      </c>
      <c r="M142" s="13">
        <v>0.90980000000000005</v>
      </c>
    </row>
    <row r="143" spans="1:13" x14ac:dyDescent="0.25">
      <c r="A143" s="2">
        <v>43517</v>
      </c>
      <c r="B143" s="1" t="s">
        <v>175</v>
      </c>
      <c r="C143" s="1" t="s">
        <v>176</v>
      </c>
      <c r="D143">
        <v>2</v>
      </c>
      <c r="E143">
        <v>14646.58</v>
      </c>
      <c r="F143">
        <v>14572.5</v>
      </c>
      <c r="G143">
        <v>4857.5</v>
      </c>
      <c r="H143" s="8">
        <f>SUM(sales_data[[#This Row],[rand discount]]/sales_data[[#This Row],[total order total]])</f>
        <v>0.33164738799091664</v>
      </c>
      <c r="I143">
        <v>25</v>
      </c>
      <c r="J143">
        <v>74.08</v>
      </c>
      <c r="K143">
        <v>19430</v>
      </c>
      <c r="L143" t="b">
        <v>1</v>
      </c>
      <c r="M143" s="13">
        <v>0.32500000000000001</v>
      </c>
    </row>
    <row r="144" spans="1:13" x14ac:dyDescent="0.25">
      <c r="A144" s="2">
        <v>43763</v>
      </c>
      <c r="B144" s="1" t="s">
        <v>141</v>
      </c>
      <c r="C144" s="1" t="s">
        <v>142</v>
      </c>
      <c r="D144">
        <v>2</v>
      </c>
      <c r="E144">
        <v>16562.47</v>
      </c>
      <c r="F144">
        <v>16490</v>
      </c>
      <c r="G144">
        <v>2910</v>
      </c>
      <c r="H144" s="8">
        <f>SUM(sales_data[[#This Row],[rand discount]]/sales_data[[#This Row],[total order total]])</f>
        <v>0.17569843145376263</v>
      </c>
      <c r="I144">
        <v>15</v>
      </c>
      <c r="J144">
        <v>72.47</v>
      </c>
      <c r="K144">
        <v>19400</v>
      </c>
      <c r="L144" t="b">
        <v>0</v>
      </c>
      <c r="M144" s="13">
        <v>0.2596</v>
      </c>
    </row>
    <row r="145" spans="1:13" x14ac:dyDescent="0.25">
      <c r="A145" s="2">
        <v>43545</v>
      </c>
      <c r="B145" s="1" t="s">
        <v>247</v>
      </c>
      <c r="C145" s="1" t="s">
        <v>248</v>
      </c>
      <c r="D145">
        <v>2</v>
      </c>
      <c r="E145">
        <v>17373.55</v>
      </c>
      <c r="F145">
        <v>17325</v>
      </c>
      <c r="G145">
        <v>1925</v>
      </c>
      <c r="H145" s="8">
        <f>SUM(sales_data[[#This Row],[rand discount]]/sales_data[[#This Row],[total order total]])</f>
        <v>0.11080061357638479</v>
      </c>
      <c r="I145">
        <v>10</v>
      </c>
      <c r="J145">
        <v>48.55</v>
      </c>
      <c r="K145">
        <v>19250</v>
      </c>
      <c r="L145" t="b">
        <v>0</v>
      </c>
      <c r="M145" s="13">
        <v>68.889200000000002</v>
      </c>
    </row>
    <row r="146" spans="1:13" x14ac:dyDescent="0.25">
      <c r="A146" s="2">
        <v>43566</v>
      </c>
      <c r="B146" s="1" t="s">
        <v>437</v>
      </c>
      <c r="C146" s="1" t="s">
        <v>438</v>
      </c>
      <c r="D146">
        <v>2</v>
      </c>
      <c r="E146">
        <v>16390.48</v>
      </c>
      <c r="F146">
        <v>16324.25</v>
      </c>
      <c r="G146">
        <v>2880.75</v>
      </c>
      <c r="H146" s="8">
        <f>SUM(sales_data[[#This Row],[rand discount]]/sales_data[[#This Row],[total order total]])</f>
        <v>0.17575751289773089</v>
      </c>
      <c r="I146">
        <v>15</v>
      </c>
      <c r="J146">
        <v>66.23</v>
      </c>
      <c r="K146">
        <v>19205</v>
      </c>
      <c r="L146" t="b">
        <v>1</v>
      </c>
      <c r="M146" s="13">
        <v>1.4380999999999999</v>
      </c>
    </row>
    <row r="147" spans="1:13" x14ac:dyDescent="0.25">
      <c r="A147" s="2">
        <v>43739</v>
      </c>
      <c r="B147" s="1" t="s">
        <v>173</v>
      </c>
      <c r="C147" s="1" t="s">
        <v>174</v>
      </c>
      <c r="D147">
        <v>1</v>
      </c>
      <c r="E147">
        <v>14445.09</v>
      </c>
      <c r="F147">
        <v>14373.75</v>
      </c>
      <c r="G147">
        <v>4791.25</v>
      </c>
      <c r="H147" s="8">
        <f>SUM(sales_data[[#This Row],[rand discount]]/sales_data[[#This Row],[total order total]])</f>
        <v>0.33168709921502737</v>
      </c>
      <c r="I147">
        <v>25</v>
      </c>
      <c r="J147">
        <v>71.34</v>
      </c>
      <c r="K147">
        <v>19165</v>
      </c>
      <c r="L147" t="b">
        <v>0</v>
      </c>
      <c r="M147" s="13">
        <v>0.27029999999999998</v>
      </c>
    </row>
    <row r="148" spans="1:13" x14ac:dyDescent="0.25">
      <c r="A148" s="2">
        <v>43507</v>
      </c>
      <c r="B148" s="1" t="s">
        <v>34</v>
      </c>
      <c r="C148" s="1" t="s">
        <v>35</v>
      </c>
      <c r="D148">
        <v>1</v>
      </c>
      <c r="E148">
        <v>19104.75</v>
      </c>
      <c r="F148">
        <v>19010</v>
      </c>
      <c r="G148">
        <v>0</v>
      </c>
      <c r="H148" s="8">
        <f>SUM(sales_data[[#This Row],[rand discount]]/sales_data[[#This Row],[total order total]])</f>
        <v>0</v>
      </c>
      <c r="I148">
        <v>0</v>
      </c>
      <c r="J148">
        <v>94.75</v>
      </c>
      <c r="K148">
        <v>19010</v>
      </c>
      <c r="L148" t="b">
        <v>1</v>
      </c>
      <c r="M148" s="13">
        <v>0.95089999999999997</v>
      </c>
    </row>
    <row r="149" spans="1:13" x14ac:dyDescent="0.25">
      <c r="A149" s="2">
        <v>43522</v>
      </c>
      <c r="B149" s="1" t="s">
        <v>66</v>
      </c>
      <c r="C149" s="1" t="s">
        <v>67</v>
      </c>
      <c r="D149">
        <v>2</v>
      </c>
      <c r="E149">
        <v>17141.8</v>
      </c>
      <c r="F149">
        <v>17064</v>
      </c>
      <c r="G149">
        <v>1896</v>
      </c>
      <c r="H149" s="8">
        <f>SUM(sales_data[[#This Row],[rand discount]]/sales_data[[#This Row],[total order total]])</f>
        <v>0.1106068207539465</v>
      </c>
      <c r="I149">
        <v>10</v>
      </c>
      <c r="J149">
        <v>77.8</v>
      </c>
      <c r="K149">
        <v>18960</v>
      </c>
      <c r="L149" t="b">
        <v>1</v>
      </c>
      <c r="M149" s="13">
        <v>0.89749999999999996</v>
      </c>
    </row>
    <row r="150" spans="1:13" x14ac:dyDescent="0.25">
      <c r="A150" s="2">
        <v>43486</v>
      </c>
      <c r="B150" s="1" t="s">
        <v>529</v>
      </c>
      <c r="C150" s="1" t="s">
        <v>530</v>
      </c>
      <c r="D150">
        <v>2</v>
      </c>
      <c r="E150">
        <v>17046.75</v>
      </c>
      <c r="F150">
        <v>16974</v>
      </c>
      <c r="G150">
        <v>1886</v>
      </c>
      <c r="H150" s="8">
        <f>SUM(sales_data[[#This Row],[rand discount]]/sales_data[[#This Row],[total order total]])</f>
        <v>0.11063692492703887</v>
      </c>
      <c r="I150">
        <v>10</v>
      </c>
      <c r="J150">
        <v>72.75</v>
      </c>
      <c r="K150">
        <v>18860</v>
      </c>
      <c r="L150" t="b">
        <v>0</v>
      </c>
      <c r="M150" s="13">
        <v>0.74550000000000005</v>
      </c>
    </row>
    <row r="151" spans="1:13" x14ac:dyDescent="0.25">
      <c r="A151" s="2">
        <v>43780</v>
      </c>
      <c r="B151" s="1" t="s">
        <v>557</v>
      </c>
      <c r="C151" s="1" t="s">
        <v>558</v>
      </c>
      <c r="D151">
        <v>2</v>
      </c>
      <c r="E151">
        <v>18567.310000000001</v>
      </c>
      <c r="F151">
        <v>18465</v>
      </c>
      <c r="G151">
        <v>0</v>
      </c>
      <c r="H151" s="8">
        <f>SUM(sales_data[[#This Row],[rand discount]]/sales_data[[#This Row],[total order total]])</f>
        <v>0</v>
      </c>
      <c r="I151">
        <v>0</v>
      </c>
      <c r="J151">
        <v>102.31</v>
      </c>
      <c r="K151">
        <v>18465</v>
      </c>
      <c r="L151" t="b">
        <v>1</v>
      </c>
      <c r="M151" s="13">
        <v>0.5736</v>
      </c>
    </row>
    <row r="152" spans="1:13" x14ac:dyDescent="0.25">
      <c r="A152" s="2">
        <v>43499</v>
      </c>
      <c r="B152" s="1" t="s">
        <v>859</v>
      </c>
      <c r="C152" s="1" t="s">
        <v>824</v>
      </c>
      <c r="D152">
        <v>1</v>
      </c>
      <c r="E152">
        <v>13938.52</v>
      </c>
      <c r="F152">
        <v>13845</v>
      </c>
      <c r="G152">
        <v>4615</v>
      </c>
      <c r="H152" s="8">
        <f>SUM(sales_data[[#This Row],[rand discount]]/sales_data[[#This Row],[total order total]])</f>
        <v>0.33109684528916988</v>
      </c>
      <c r="I152">
        <v>25</v>
      </c>
      <c r="J152">
        <v>93.52</v>
      </c>
      <c r="K152">
        <v>18460</v>
      </c>
      <c r="L152" t="b">
        <v>1</v>
      </c>
      <c r="M152" s="13">
        <v>0.90980000000000005</v>
      </c>
    </row>
    <row r="153" spans="1:13" x14ac:dyDescent="0.25">
      <c r="A153" s="2">
        <v>43562</v>
      </c>
      <c r="B153" s="1" t="s">
        <v>58</v>
      </c>
      <c r="C153" s="1" t="s">
        <v>59</v>
      </c>
      <c r="D153">
        <v>1</v>
      </c>
      <c r="E153">
        <v>17539.189999999999</v>
      </c>
      <c r="F153">
        <v>17470.5</v>
      </c>
      <c r="G153">
        <v>919.5</v>
      </c>
      <c r="H153" s="8">
        <f>SUM(sales_data[[#This Row],[rand discount]]/sales_data[[#This Row],[total order total]])</f>
        <v>5.2425454083113304E-2</v>
      </c>
      <c r="I153">
        <v>5</v>
      </c>
      <c r="J153">
        <v>68.69</v>
      </c>
      <c r="K153">
        <v>18390</v>
      </c>
      <c r="L153" t="b">
        <v>0</v>
      </c>
      <c r="M153" s="13">
        <v>1.877</v>
      </c>
    </row>
    <row r="154" spans="1:13" x14ac:dyDescent="0.25">
      <c r="A154" s="2">
        <v>43492</v>
      </c>
      <c r="B154" s="1" t="s">
        <v>495</v>
      </c>
      <c r="C154" s="1" t="s">
        <v>496</v>
      </c>
      <c r="D154">
        <v>1</v>
      </c>
      <c r="E154">
        <v>18374.75</v>
      </c>
      <c r="F154">
        <v>18300</v>
      </c>
      <c r="G154">
        <v>0</v>
      </c>
      <c r="H154" s="8">
        <f>SUM(sales_data[[#This Row],[rand discount]]/sales_data[[#This Row],[total order total]])</f>
        <v>0</v>
      </c>
      <c r="I154">
        <v>0</v>
      </c>
      <c r="J154">
        <v>74.75</v>
      </c>
      <c r="K154">
        <v>18300</v>
      </c>
      <c r="L154" t="b">
        <v>0</v>
      </c>
      <c r="M154" s="13">
        <v>0.90390000000000004</v>
      </c>
    </row>
    <row r="155" spans="1:13" x14ac:dyDescent="0.25">
      <c r="A155" s="2">
        <v>43627</v>
      </c>
      <c r="B155" s="1" t="s">
        <v>215</v>
      </c>
      <c r="C155" s="1" t="s">
        <v>216</v>
      </c>
      <c r="D155">
        <v>3</v>
      </c>
      <c r="E155">
        <v>16545</v>
      </c>
      <c r="F155">
        <v>16465.5</v>
      </c>
      <c r="G155">
        <v>1829.5</v>
      </c>
      <c r="H155" s="8">
        <f>SUM(sales_data[[#This Row],[rand discount]]/sales_data[[#This Row],[total order total]])</f>
        <v>0.11057721365971593</v>
      </c>
      <c r="I155">
        <v>10</v>
      </c>
      <c r="J155">
        <v>79.5</v>
      </c>
      <c r="K155">
        <v>18295</v>
      </c>
      <c r="L155" t="b">
        <v>1</v>
      </c>
      <c r="M155" s="13">
        <v>1.3</v>
      </c>
    </row>
    <row r="156" spans="1:13" x14ac:dyDescent="0.25">
      <c r="A156" s="2">
        <v>43756</v>
      </c>
      <c r="B156" s="1" t="s">
        <v>407</v>
      </c>
      <c r="C156" s="1" t="s">
        <v>408</v>
      </c>
      <c r="D156">
        <v>1</v>
      </c>
      <c r="E156">
        <v>16458.240000000002</v>
      </c>
      <c r="F156">
        <v>16380</v>
      </c>
      <c r="G156">
        <v>1820</v>
      </c>
      <c r="H156" s="8">
        <f>SUM(sales_data[[#This Row],[rand discount]]/sales_data[[#This Row],[total order total]])</f>
        <v>0.11058290558407216</v>
      </c>
      <c r="I156">
        <v>10</v>
      </c>
      <c r="J156">
        <v>78.239999999999995</v>
      </c>
      <c r="K156">
        <v>18200</v>
      </c>
      <c r="L156" t="b">
        <v>0</v>
      </c>
      <c r="M156" s="13">
        <v>1.0751999999999999</v>
      </c>
    </row>
    <row r="157" spans="1:13" x14ac:dyDescent="0.25">
      <c r="A157" s="2">
        <v>43520</v>
      </c>
      <c r="B157" s="1" t="s">
        <v>489</v>
      </c>
      <c r="C157" s="1" t="s">
        <v>490</v>
      </c>
      <c r="D157">
        <v>2</v>
      </c>
      <c r="E157">
        <v>16474.13</v>
      </c>
      <c r="F157">
        <v>16380</v>
      </c>
      <c r="G157">
        <v>1820</v>
      </c>
      <c r="H157" s="8">
        <f>SUM(sales_data[[#This Row],[rand discount]]/sales_data[[#This Row],[total order total]])</f>
        <v>0.11047624366203253</v>
      </c>
      <c r="I157">
        <v>10</v>
      </c>
      <c r="J157">
        <v>94.13</v>
      </c>
      <c r="K157">
        <v>18200</v>
      </c>
      <c r="L157" t="b">
        <v>1</v>
      </c>
      <c r="M157" s="13">
        <v>0.85960000000000003</v>
      </c>
    </row>
    <row r="158" spans="1:13" x14ac:dyDescent="0.25">
      <c r="A158" s="2">
        <v>43785</v>
      </c>
      <c r="B158" s="1" t="s">
        <v>755</v>
      </c>
      <c r="C158" s="1" t="s">
        <v>756</v>
      </c>
      <c r="D158">
        <v>1</v>
      </c>
      <c r="E158">
        <v>18274.060000000001</v>
      </c>
      <c r="F158">
        <v>18195</v>
      </c>
      <c r="G158">
        <v>0</v>
      </c>
      <c r="H158" s="8">
        <f>SUM(sales_data[[#This Row],[rand discount]]/sales_data[[#This Row],[total order total]])</f>
        <v>0</v>
      </c>
      <c r="I158">
        <v>0</v>
      </c>
      <c r="J158">
        <v>79.06</v>
      </c>
      <c r="K158">
        <v>18195</v>
      </c>
      <c r="L158" t="b">
        <v>0</v>
      </c>
      <c r="M158" s="13">
        <v>1.4240999999999999</v>
      </c>
    </row>
    <row r="159" spans="1:13" x14ac:dyDescent="0.25">
      <c r="A159" s="2">
        <v>43485</v>
      </c>
      <c r="B159" s="1" t="s">
        <v>712</v>
      </c>
      <c r="C159" s="1" t="s">
        <v>713</v>
      </c>
      <c r="D159">
        <v>1</v>
      </c>
      <c r="E159">
        <v>18154.490000000002</v>
      </c>
      <c r="F159">
        <v>18075</v>
      </c>
      <c r="G159">
        <v>0</v>
      </c>
      <c r="H159" s="8">
        <f>SUM(sales_data[[#This Row],[rand discount]]/sales_data[[#This Row],[total order total]])</f>
        <v>0</v>
      </c>
      <c r="I159">
        <v>0</v>
      </c>
      <c r="J159">
        <v>79.489999999999995</v>
      </c>
      <c r="K159">
        <v>18075</v>
      </c>
      <c r="L159" t="b">
        <v>0</v>
      </c>
      <c r="M159" s="13">
        <v>1.3749</v>
      </c>
    </row>
    <row r="160" spans="1:13" x14ac:dyDescent="0.25">
      <c r="A160" s="2">
        <v>43645</v>
      </c>
      <c r="B160" s="1" t="s">
        <v>543</v>
      </c>
      <c r="C160" s="1" t="s">
        <v>544</v>
      </c>
      <c r="D160">
        <v>2</v>
      </c>
      <c r="E160">
        <v>16280.95</v>
      </c>
      <c r="F160">
        <v>16218</v>
      </c>
      <c r="G160">
        <v>1802</v>
      </c>
      <c r="H160" s="8">
        <f>SUM(sales_data[[#This Row],[rand discount]]/sales_data[[#This Row],[total order total]])</f>
        <v>0.11068150200080462</v>
      </c>
      <c r="I160">
        <v>10</v>
      </c>
      <c r="J160">
        <v>62.95</v>
      </c>
      <c r="K160">
        <v>18020</v>
      </c>
      <c r="L160" t="b">
        <v>0</v>
      </c>
      <c r="M160" s="13">
        <v>0.2271</v>
      </c>
    </row>
    <row r="161" spans="1:13" x14ac:dyDescent="0.25">
      <c r="A161" s="2">
        <v>43816</v>
      </c>
      <c r="B161" s="1" t="s">
        <v>76</v>
      </c>
      <c r="C161" s="1" t="s">
        <v>77</v>
      </c>
      <c r="D161">
        <v>1</v>
      </c>
      <c r="E161">
        <v>16989.54</v>
      </c>
      <c r="F161">
        <v>16914.75</v>
      </c>
      <c r="G161">
        <v>890.25</v>
      </c>
      <c r="H161" s="8">
        <f>SUM(sales_data[[#This Row],[rand discount]]/sales_data[[#This Row],[total order total]])</f>
        <v>5.2399888401922591E-2</v>
      </c>
      <c r="I161">
        <v>5</v>
      </c>
      <c r="J161">
        <v>74.790000000000006</v>
      </c>
      <c r="K161">
        <v>17805</v>
      </c>
      <c r="L161" t="b">
        <v>0</v>
      </c>
      <c r="M161" s="13">
        <v>0.85460000000000003</v>
      </c>
    </row>
    <row r="162" spans="1:13" x14ac:dyDescent="0.25">
      <c r="A162" s="2">
        <v>43734</v>
      </c>
      <c r="B162" s="1" t="s">
        <v>129</v>
      </c>
      <c r="C162" s="1" t="s">
        <v>130</v>
      </c>
      <c r="D162">
        <v>3</v>
      </c>
      <c r="E162">
        <v>15168.21</v>
      </c>
      <c r="F162">
        <v>15100.25</v>
      </c>
      <c r="G162">
        <v>2664.75</v>
      </c>
      <c r="H162" s="8">
        <f>SUM(sales_data[[#This Row],[rand discount]]/sales_data[[#This Row],[total order total]])</f>
        <v>0.17567992531748969</v>
      </c>
      <c r="I162">
        <v>15</v>
      </c>
      <c r="J162">
        <v>67.959999999999994</v>
      </c>
      <c r="K162">
        <v>17765</v>
      </c>
      <c r="L162" t="b">
        <v>0</v>
      </c>
      <c r="M162" s="13">
        <v>1.5532999999999999</v>
      </c>
    </row>
    <row r="163" spans="1:13" x14ac:dyDescent="0.25">
      <c r="A163" s="2">
        <v>43770</v>
      </c>
      <c r="B163" s="1" t="s">
        <v>481</v>
      </c>
      <c r="C163" s="1" t="s">
        <v>482</v>
      </c>
      <c r="D163">
        <v>1</v>
      </c>
      <c r="E163">
        <v>17831.080000000002</v>
      </c>
      <c r="F163">
        <v>17740</v>
      </c>
      <c r="G163">
        <v>0</v>
      </c>
      <c r="H163" s="8">
        <f>SUM(sales_data[[#This Row],[rand discount]]/sales_data[[#This Row],[total order total]])</f>
        <v>0</v>
      </c>
      <c r="I163">
        <v>0</v>
      </c>
      <c r="J163">
        <v>91.08</v>
      </c>
      <c r="K163">
        <v>17740</v>
      </c>
      <c r="L163" t="b">
        <v>1</v>
      </c>
      <c r="M163" s="13">
        <v>1.4372</v>
      </c>
    </row>
    <row r="164" spans="1:13" x14ac:dyDescent="0.25">
      <c r="A164" s="2">
        <v>43784</v>
      </c>
      <c r="B164" s="1" t="s">
        <v>641</v>
      </c>
      <c r="C164" s="1" t="s">
        <v>642</v>
      </c>
      <c r="D164">
        <v>3</v>
      </c>
      <c r="E164">
        <v>16853.77</v>
      </c>
      <c r="F164">
        <v>16777</v>
      </c>
      <c r="G164">
        <v>883</v>
      </c>
      <c r="H164" s="8">
        <f>SUM(sales_data[[#This Row],[rand discount]]/sales_data[[#This Row],[total order total]])</f>
        <v>5.2391838739937711E-2</v>
      </c>
      <c r="I164">
        <v>5</v>
      </c>
      <c r="J164">
        <v>76.77</v>
      </c>
      <c r="K164">
        <v>17660</v>
      </c>
      <c r="L164" t="b">
        <v>0</v>
      </c>
      <c r="M164" s="13">
        <v>0.9083</v>
      </c>
    </row>
    <row r="165" spans="1:13" x14ac:dyDescent="0.25">
      <c r="A165" s="2">
        <v>43698</v>
      </c>
      <c r="B165" s="1" t="s">
        <v>945</v>
      </c>
      <c r="C165" s="1" t="s">
        <v>946</v>
      </c>
      <c r="D165">
        <v>3</v>
      </c>
      <c r="E165">
        <v>16814.2</v>
      </c>
      <c r="F165">
        <v>16748.5</v>
      </c>
      <c r="G165">
        <v>881.5</v>
      </c>
      <c r="H165" s="8">
        <f>SUM(sales_data[[#This Row],[rand discount]]/sales_data[[#This Row],[total order total]])</f>
        <v>5.2425925705653555E-2</v>
      </c>
      <c r="I165">
        <v>5</v>
      </c>
      <c r="J165">
        <v>65.7</v>
      </c>
      <c r="K165">
        <v>17630</v>
      </c>
      <c r="L165" t="b">
        <v>0</v>
      </c>
      <c r="M165" s="13">
        <v>1.157</v>
      </c>
    </row>
    <row r="166" spans="1:13" x14ac:dyDescent="0.25">
      <c r="A166" s="2">
        <v>43743</v>
      </c>
      <c r="B166" s="1" t="s">
        <v>487</v>
      </c>
      <c r="C166" s="1" t="s">
        <v>488</v>
      </c>
      <c r="D166">
        <v>3</v>
      </c>
      <c r="E166">
        <v>17609.05</v>
      </c>
      <c r="F166">
        <v>17530</v>
      </c>
      <c r="G166">
        <v>0</v>
      </c>
      <c r="H166" s="8">
        <f>SUM(sales_data[[#This Row],[rand discount]]/sales_data[[#This Row],[total order total]])</f>
        <v>0</v>
      </c>
      <c r="I166">
        <v>0</v>
      </c>
      <c r="J166">
        <v>79.05</v>
      </c>
      <c r="K166">
        <v>17530</v>
      </c>
      <c r="L166" t="b">
        <v>0</v>
      </c>
      <c r="M166" s="13">
        <v>1.0832999999999999</v>
      </c>
    </row>
    <row r="167" spans="1:13" x14ac:dyDescent="0.25">
      <c r="A167" s="2">
        <v>43682</v>
      </c>
      <c r="B167" s="1" t="s">
        <v>993</v>
      </c>
      <c r="C167" s="1" t="s">
        <v>994</v>
      </c>
      <c r="D167">
        <v>2</v>
      </c>
      <c r="E167">
        <v>16709.87</v>
      </c>
      <c r="F167">
        <v>16634.5</v>
      </c>
      <c r="G167">
        <v>875.5</v>
      </c>
      <c r="H167" s="8">
        <f>SUM(sales_data[[#This Row],[rand discount]]/sales_data[[#This Row],[total order total]])</f>
        <v>5.2394183796762035E-2</v>
      </c>
      <c r="I167">
        <v>5</v>
      </c>
      <c r="J167">
        <v>75.37</v>
      </c>
      <c r="K167">
        <v>17510</v>
      </c>
      <c r="L167" t="b">
        <v>1</v>
      </c>
      <c r="M167" s="13">
        <v>0.55130000000000001</v>
      </c>
    </row>
    <row r="168" spans="1:13" x14ac:dyDescent="0.25">
      <c r="A168" s="2">
        <v>43715</v>
      </c>
      <c r="B168" s="1" t="s">
        <v>125</v>
      </c>
      <c r="C168" s="1" t="s">
        <v>126</v>
      </c>
      <c r="D168">
        <v>2</v>
      </c>
      <c r="E168">
        <v>16606.2</v>
      </c>
      <c r="F168">
        <v>16539.5</v>
      </c>
      <c r="G168">
        <v>870.5</v>
      </c>
      <c r="H168" s="8">
        <f>SUM(sales_data[[#This Row],[rand discount]]/sales_data[[#This Row],[total order total]])</f>
        <v>5.2420180414543965E-2</v>
      </c>
      <c r="I168">
        <v>5</v>
      </c>
      <c r="J168">
        <v>66.7</v>
      </c>
      <c r="K168">
        <v>17410</v>
      </c>
      <c r="L168" t="b">
        <v>0</v>
      </c>
      <c r="M168" s="13">
        <v>1.5055000000000001</v>
      </c>
    </row>
    <row r="169" spans="1:13" x14ac:dyDescent="0.25">
      <c r="A169" s="2">
        <v>43730</v>
      </c>
      <c r="B169" s="1" t="s">
        <v>623</v>
      </c>
      <c r="C169" s="1" t="s">
        <v>624</v>
      </c>
      <c r="D169">
        <v>2</v>
      </c>
      <c r="E169">
        <v>13166.08</v>
      </c>
      <c r="F169">
        <v>13057.5</v>
      </c>
      <c r="G169">
        <v>4352.5</v>
      </c>
      <c r="H169" s="8">
        <f>SUM(sales_data[[#This Row],[rand discount]]/sales_data[[#This Row],[total order total]])</f>
        <v>0.33058435008749759</v>
      </c>
      <c r="I169">
        <v>25</v>
      </c>
      <c r="J169">
        <v>108.58</v>
      </c>
      <c r="K169">
        <v>17410</v>
      </c>
      <c r="L169" t="b">
        <v>1</v>
      </c>
      <c r="M169" s="13">
        <v>1.7971999999999999</v>
      </c>
    </row>
    <row r="170" spans="1:13" x14ac:dyDescent="0.25">
      <c r="A170" s="2">
        <v>43597</v>
      </c>
      <c r="B170" s="1" t="s">
        <v>829</v>
      </c>
      <c r="C170" s="1" t="s">
        <v>830</v>
      </c>
      <c r="D170">
        <v>1</v>
      </c>
      <c r="E170">
        <v>14863.26</v>
      </c>
      <c r="F170">
        <v>14798.5</v>
      </c>
      <c r="G170">
        <v>2611.5</v>
      </c>
      <c r="H170" s="8">
        <f>SUM(sales_data[[#This Row],[rand discount]]/sales_data[[#This Row],[total order total]])</f>
        <v>0.17570169666681468</v>
      </c>
      <c r="I170">
        <v>15</v>
      </c>
      <c r="J170">
        <v>64.760000000000005</v>
      </c>
      <c r="K170">
        <v>17410</v>
      </c>
      <c r="L170" t="b">
        <v>0</v>
      </c>
      <c r="M170" s="13">
        <v>1.0053000000000001</v>
      </c>
    </row>
    <row r="171" spans="1:13" x14ac:dyDescent="0.25">
      <c r="A171" s="2">
        <v>43645</v>
      </c>
      <c r="B171" s="1" t="s">
        <v>259</v>
      </c>
      <c r="C171" s="1" t="s">
        <v>260</v>
      </c>
      <c r="D171">
        <v>3</v>
      </c>
      <c r="E171">
        <v>14735.3</v>
      </c>
      <c r="F171">
        <v>14671</v>
      </c>
      <c r="G171">
        <v>2589</v>
      </c>
      <c r="H171" s="8">
        <f>SUM(sales_data[[#This Row],[rand discount]]/sales_data[[#This Row],[total order total]])</f>
        <v>0.17570052866246361</v>
      </c>
      <c r="I171">
        <v>15</v>
      </c>
      <c r="J171">
        <v>64.3</v>
      </c>
      <c r="K171">
        <v>17260</v>
      </c>
      <c r="L171" t="b">
        <v>0</v>
      </c>
      <c r="M171" s="13">
        <v>0.96309999999999996</v>
      </c>
    </row>
    <row r="172" spans="1:13" x14ac:dyDescent="0.25">
      <c r="A172" s="2">
        <v>43782</v>
      </c>
      <c r="B172" s="1" t="s">
        <v>891</v>
      </c>
      <c r="C172" s="1" t="s">
        <v>892</v>
      </c>
      <c r="D172">
        <v>2</v>
      </c>
      <c r="E172">
        <v>15467.42</v>
      </c>
      <c r="F172">
        <v>15363</v>
      </c>
      <c r="G172">
        <v>1707</v>
      </c>
      <c r="H172" s="8">
        <f>SUM(sales_data[[#This Row],[rand discount]]/sales_data[[#This Row],[total order total]])</f>
        <v>0.1103610039683412</v>
      </c>
      <c r="I172">
        <v>10</v>
      </c>
      <c r="J172">
        <v>104.42</v>
      </c>
      <c r="K172">
        <v>17070</v>
      </c>
      <c r="L172" t="b">
        <v>1</v>
      </c>
      <c r="M172" s="13">
        <v>1.0587</v>
      </c>
    </row>
    <row r="173" spans="1:13" x14ac:dyDescent="0.25">
      <c r="A173" s="2">
        <v>43741</v>
      </c>
      <c r="B173" s="1" t="s">
        <v>383</v>
      </c>
      <c r="C173" s="1" t="s">
        <v>384</v>
      </c>
      <c r="D173">
        <v>1</v>
      </c>
      <c r="E173">
        <v>16234.77</v>
      </c>
      <c r="F173">
        <v>16131</v>
      </c>
      <c r="G173">
        <v>849</v>
      </c>
      <c r="H173" s="8">
        <f>SUM(sales_data[[#This Row],[rand discount]]/sales_data[[#This Row],[total order total]])</f>
        <v>5.229516648526588E-2</v>
      </c>
      <c r="I173">
        <v>5</v>
      </c>
      <c r="J173">
        <v>103.77</v>
      </c>
      <c r="K173">
        <v>16980</v>
      </c>
      <c r="L173" t="b">
        <v>1</v>
      </c>
      <c r="M173" s="13">
        <v>0.96630000000000005</v>
      </c>
    </row>
    <row r="174" spans="1:13" x14ac:dyDescent="0.25">
      <c r="A174" s="2">
        <v>43623</v>
      </c>
      <c r="B174" s="1" t="s">
        <v>973</v>
      </c>
      <c r="C174" s="1" t="s">
        <v>974</v>
      </c>
      <c r="D174">
        <v>1</v>
      </c>
      <c r="E174">
        <v>14460.75</v>
      </c>
      <c r="F174">
        <v>14399</v>
      </c>
      <c r="G174">
        <v>2541</v>
      </c>
      <c r="H174" s="8">
        <f>SUM(sales_data[[#This Row],[rand discount]]/sales_data[[#This Row],[total order total]])</f>
        <v>0.17571702712514911</v>
      </c>
      <c r="I174">
        <v>15</v>
      </c>
      <c r="J174">
        <v>61.75</v>
      </c>
      <c r="K174">
        <v>16940</v>
      </c>
      <c r="L174" t="b">
        <v>1</v>
      </c>
      <c r="M174" s="13">
        <v>0.74619999999999997</v>
      </c>
    </row>
    <row r="175" spans="1:13" x14ac:dyDescent="0.25">
      <c r="A175" s="2">
        <v>43591</v>
      </c>
      <c r="B175" s="1" t="s">
        <v>531</v>
      </c>
      <c r="C175" s="1" t="s">
        <v>532</v>
      </c>
      <c r="D175">
        <v>1</v>
      </c>
      <c r="E175">
        <v>16013.45</v>
      </c>
      <c r="F175">
        <v>15931.5</v>
      </c>
      <c r="G175">
        <v>838.5</v>
      </c>
      <c r="H175" s="8">
        <f>SUM(sales_data[[#This Row],[rand discount]]/sales_data[[#This Row],[total order total]])</f>
        <v>5.236223299788615E-2</v>
      </c>
      <c r="I175">
        <v>5</v>
      </c>
      <c r="J175">
        <v>81.95</v>
      </c>
      <c r="K175">
        <v>16770</v>
      </c>
      <c r="L175" t="b">
        <v>1</v>
      </c>
      <c r="M175" s="13">
        <v>48.598399999999998</v>
      </c>
    </row>
    <row r="176" spans="1:13" x14ac:dyDescent="0.25">
      <c r="A176" s="2">
        <v>43712</v>
      </c>
      <c r="B176" s="1" t="s">
        <v>237</v>
      </c>
      <c r="C176" s="1" t="s">
        <v>238</v>
      </c>
      <c r="D176">
        <v>3</v>
      </c>
      <c r="E176">
        <v>14288.68</v>
      </c>
      <c r="F176">
        <v>14212</v>
      </c>
      <c r="G176">
        <v>2508</v>
      </c>
      <c r="H176" s="8">
        <f>SUM(sales_data[[#This Row],[rand discount]]/sales_data[[#This Row],[total order total]])</f>
        <v>0.1755235613086723</v>
      </c>
      <c r="I176">
        <v>15</v>
      </c>
      <c r="J176">
        <v>76.680000000000007</v>
      </c>
      <c r="K176">
        <v>16720</v>
      </c>
      <c r="L176" t="b">
        <v>0</v>
      </c>
      <c r="M176" s="13">
        <v>0.85840000000000005</v>
      </c>
    </row>
    <row r="177" spans="1:13" x14ac:dyDescent="0.25">
      <c r="A177" s="2">
        <v>43472</v>
      </c>
      <c r="B177" s="1" t="s">
        <v>385</v>
      </c>
      <c r="C177" s="1" t="s">
        <v>386</v>
      </c>
      <c r="D177">
        <v>1</v>
      </c>
      <c r="E177">
        <v>15860.18</v>
      </c>
      <c r="F177">
        <v>15784.25</v>
      </c>
      <c r="G177">
        <v>830.75</v>
      </c>
      <c r="H177" s="8">
        <f>SUM(sales_data[[#This Row],[rand discount]]/sales_data[[#This Row],[total order total]])</f>
        <v>5.2379607293233744E-2</v>
      </c>
      <c r="I177">
        <v>5</v>
      </c>
      <c r="J177">
        <v>75.930000000000007</v>
      </c>
      <c r="K177">
        <v>16615</v>
      </c>
      <c r="L177" t="b">
        <v>0</v>
      </c>
      <c r="M177" s="13">
        <v>1.0799000000000001</v>
      </c>
    </row>
    <row r="178" spans="1:13" x14ac:dyDescent="0.25">
      <c r="A178" s="2">
        <v>43754</v>
      </c>
      <c r="B178" s="1" t="s">
        <v>811</v>
      </c>
      <c r="C178" s="1" t="s">
        <v>812</v>
      </c>
      <c r="D178">
        <v>1</v>
      </c>
      <c r="E178">
        <v>16690.36</v>
      </c>
      <c r="F178">
        <v>16580</v>
      </c>
      <c r="G178">
        <v>0</v>
      </c>
      <c r="H178" s="8">
        <f>SUM(sales_data[[#This Row],[rand discount]]/sales_data[[#This Row],[total order total]])</f>
        <v>0</v>
      </c>
      <c r="I178">
        <v>0</v>
      </c>
      <c r="J178">
        <v>110.36</v>
      </c>
      <c r="K178">
        <v>16580</v>
      </c>
      <c r="L178" t="b">
        <v>1</v>
      </c>
      <c r="M178" s="13">
        <v>1.9558</v>
      </c>
    </row>
    <row r="179" spans="1:13" x14ac:dyDescent="0.25">
      <c r="A179" s="2">
        <v>43523</v>
      </c>
      <c r="B179" s="1" t="s">
        <v>683</v>
      </c>
      <c r="C179" s="1" t="s">
        <v>510</v>
      </c>
      <c r="D179">
        <v>1</v>
      </c>
      <c r="E179">
        <v>15015.72</v>
      </c>
      <c r="F179">
        <v>14913</v>
      </c>
      <c r="G179">
        <v>1657</v>
      </c>
      <c r="H179" s="8">
        <f>SUM(sales_data[[#This Row],[rand discount]]/sales_data[[#This Row],[total order total]])</f>
        <v>0.11035101879896536</v>
      </c>
      <c r="I179">
        <v>10</v>
      </c>
      <c r="J179">
        <v>102.72</v>
      </c>
      <c r="K179">
        <v>16570</v>
      </c>
      <c r="L179" t="b">
        <v>1</v>
      </c>
      <c r="M179" s="13">
        <v>1.7862</v>
      </c>
    </row>
    <row r="180" spans="1:13" x14ac:dyDescent="0.25">
      <c r="A180" s="2">
        <v>43754</v>
      </c>
      <c r="B180" s="1" t="s">
        <v>999</v>
      </c>
      <c r="C180" s="1" t="s">
        <v>1000</v>
      </c>
      <c r="D180">
        <v>2</v>
      </c>
      <c r="E180">
        <v>16596.98</v>
      </c>
      <c r="F180">
        <v>16490</v>
      </c>
      <c r="G180">
        <v>0</v>
      </c>
      <c r="H180" s="8">
        <f>SUM(sales_data[[#This Row],[rand discount]]/sales_data[[#This Row],[total order total]])</f>
        <v>0</v>
      </c>
      <c r="I180">
        <v>0</v>
      </c>
      <c r="J180">
        <v>106.98</v>
      </c>
      <c r="K180">
        <v>16490</v>
      </c>
      <c r="L180" t="b">
        <v>1</v>
      </c>
      <c r="M180" s="13">
        <v>1.4368000000000001</v>
      </c>
    </row>
    <row r="181" spans="1:13" x14ac:dyDescent="0.25">
      <c r="A181" s="2">
        <v>43635</v>
      </c>
      <c r="B181" s="1" t="s">
        <v>876</v>
      </c>
      <c r="C181" s="1" t="s">
        <v>877</v>
      </c>
      <c r="D181">
        <v>3</v>
      </c>
      <c r="E181">
        <v>16512.560000000001</v>
      </c>
      <c r="F181">
        <v>16450</v>
      </c>
      <c r="G181">
        <v>0</v>
      </c>
      <c r="H181" s="8">
        <f>SUM(sales_data[[#This Row],[rand discount]]/sales_data[[#This Row],[total order total]])</f>
        <v>0</v>
      </c>
      <c r="I181">
        <v>0</v>
      </c>
      <c r="J181">
        <v>62.56</v>
      </c>
      <c r="K181">
        <v>16450</v>
      </c>
      <c r="L181" t="b">
        <v>1</v>
      </c>
      <c r="M181" s="13">
        <v>1.3053999999999999</v>
      </c>
    </row>
    <row r="182" spans="1:13" x14ac:dyDescent="0.25">
      <c r="A182" s="2">
        <v>43719</v>
      </c>
      <c r="B182" s="1" t="s">
        <v>525</v>
      </c>
      <c r="C182" s="1" t="s">
        <v>526</v>
      </c>
      <c r="D182">
        <v>2</v>
      </c>
      <c r="E182">
        <v>16493.7</v>
      </c>
      <c r="F182">
        <v>16390</v>
      </c>
      <c r="G182">
        <v>0</v>
      </c>
      <c r="H182" s="8">
        <f>SUM(sales_data[[#This Row],[rand discount]]/sales_data[[#This Row],[total order total]])</f>
        <v>0</v>
      </c>
      <c r="I182">
        <v>0</v>
      </c>
      <c r="J182">
        <v>103.7</v>
      </c>
      <c r="K182">
        <v>16390</v>
      </c>
      <c r="L182" t="b">
        <v>1</v>
      </c>
      <c r="M182" s="13">
        <v>0.92469999999999997</v>
      </c>
    </row>
    <row r="183" spans="1:13" x14ac:dyDescent="0.25">
      <c r="A183" s="2">
        <v>43723</v>
      </c>
      <c r="B183" s="1" t="s">
        <v>309</v>
      </c>
      <c r="C183" s="1" t="s">
        <v>310</v>
      </c>
      <c r="D183">
        <v>3</v>
      </c>
      <c r="E183">
        <v>15585.36</v>
      </c>
      <c r="F183">
        <v>15485</v>
      </c>
      <c r="G183">
        <v>815</v>
      </c>
      <c r="H183" s="8">
        <f>SUM(sales_data[[#This Row],[rand discount]]/sales_data[[#This Row],[total order total]])</f>
        <v>5.2292664397870822E-2</v>
      </c>
      <c r="I183">
        <v>5</v>
      </c>
      <c r="J183">
        <v>100.36</v>
      </c>
      <c r="K183">
        <v>16300</v>
      </c>
      <c r="L183" t="b">
        <v>1</v>
      </c>
      <c r="M183" s="13">
        <v>0.84560000000000002</v>
      </c>
    </row>
    <row r="184" spans="1:13" x14ac:dyDescent="0.25">
      <c r="A184" s="2">
        <v>43777</v>
      </c>
      <c r="B184" s="1" t="s">
        <v>463</v>
      </c>
      <c r="C184" s="1" t="s">
        <v>464</v>
      </c>
      <c r="D184">
        <v>3</v>
      </c>
      <c r="E184">
        <v>15545.35</v>
      </c>
      <c r="F184">
        <v>15466</v>
      </c>
      <c r="G184">
        <v>814</v>
      </c>
      <c r="H184" s="8">
        <f>SUM(sales_data[[#This Row],[rand discount]]/sales_data[[#This Row],[total order total]])</f>
        <v>5.2362925247742893E-2</v>
      </c>
      <c r="I184">
        <v>5</v>
      </c>
      <c r="J184">
        <v>79.349999999999994</v>
      </c>
      <c r="K184">
        <v>16280</v>
      </c>
      <c r="L184" t="b">
        <v>0</v>
      </c>
      <c r="M184" s="13">
        <v>1.9039999999999999</v>
      </c>
    </row>
    <row r="185" spans="1:13" x14ac:dyDescent="0.25">
      <c r="A185" s="2">
        <v>43680</v>
      </c>
      <c r="B185" s="1" t="s">
        <v>117</v>
      </c>
      <c r="C185" s="1" t="s">
        <v>118</v>
      </c>
      <c r="D185">
        <v>2</v>
      </c>
      <c r="E185">
        <v>15421.05</v>
      </c>
      <c r="F185">
        <v>15371</v>
      </c>
      <c r="G185">
        <v>809</v>
      </c>
      <c r="H185" s="8">
        <f>SUM(sales_data[[#This Row],[rand discount]]/sales_data[[#This Row],[total order total]])</f>
        <v>5.246075980559041E-2</v>
      </c>
      <c r="I185">
        <v>5</v>
      </c>
      <c r="J185">
        <v>50.05</v>
      </c>
      <c r="K185">
        <v>16180</v>
      </c>
      <c r="L185" t="b">
        <v>0</v>
      </c>
      <c r="M185" s="13">
        <v>0.73680000000000001</v>
      </c>
    </row>
    <row r="186" spans="1:13" x14ac:dyDescent="0.25">
      <c r="A186" s="2">
        <v>43820</v>
      </c>
      <c r="B186" s="1" t="s">
        <v>545</v>
      </c>
      <c r="C186" s="1" t="s">
        <v>546</v>
      </c>
      <c r="D186">
        <v>3</v>
      </c>
      <c r="E186">
        <v>15405.2</v>
      </c>
      <c r="F186">
        <v>15342.5</v>
      </c>
      <c r="G186">
        <v>807.5</v>
      </c>
      <c r="H186" s="8">
        <f>SUM(sales_data[[#This Row],[rand discount]]/sales_data[[#This Row],[total order total]])</f>
        <v>5.2417365564874197E-2</v>
      </c>
      <c r="I186">
        <v>5</v>
      </c>
      <c r="J186">
        <v>62.7</v>
      </c>
      <c r="K186">
        <v>16150</v>
      </c>
      <c r="L186" t="b">
        <v>0</v>
      </c>
      <c r="M186" s="13">
        <v>1.3244</v>
      </c>
    </row>
    <row r="187" spans="1:13" x14ac:dyDescent="0.25">
      <c r="A187" s="2">
        <v>43720</v>
      </c>
      <c r="B187" s="1" t="s">
        <v>720</v>
      </c>
      <c r="C187" s="1" t="s">
        <v>721</v>
      </c>
      <c r="D187">
        <v>2</v>
      </c>
      <c r="E187">
        <v>14615.5</v>
      </c>
      <c r="F187">
        <v>14517</v>
      </c>
      <c r="G187">
        <v>1613</v>
      </c>
      <c r="H187" s="8">
        <f>SUM(sales_data[[#This Row],[rand discount]]/sales_data[[#This Row],[total order total]])</f>
        <v>0.11036228661352673</v>
      </c>
      <c r="I187">
        <v>10</v>
      </c>
      <c r="J187">
        <v>98.5</v>
      </c>
      <c r="K187">
        <v>16130</v>
      </c>
      <c r="L187" t="b">
        <v>1</v>
      </c>
      <c r="M187" s="13">
        <v>0.52559999999999996</v>
      </c>
    </row>
    <row r="188" spans="1:13" x14ac:dyDescent="0.25">
      <c r="A188" s="2">
        <v>43675</v>
      </c>
      <c r="B188" s="1" t="s">
        <v>365</v>
      </c>
      <c r="C188" s="1" t="s">
        <v>366</v>
      </c>
      <c r="D188">
        <v>3</v>
      </c>
      <c r="E188">
        <v>11975.07</v>
      </c>
      <c r="F188">
        <v>11910</v>
      </c>
      <c r="G188">
        <v>3970</v>
      </c>
      <c r="H188" s="8">
        <f>SUM(sales_data[[#This Row],[rand discount]]/sales_data[[#This Row],[total order total]])</f>
        <v>0.33152207043466136</v>
      </c>
      <c r="I188">
        <v>25</v>
      </c>
      <c r="J188">
        <v>65.069999999999993</v>
      </c>
      <c r="K188">
        <v>15880</v>
      </c>
      <c r="L188" t="b">
        <v>0</v>
      </c>
      <c r="M188" s="13">
        <v>0.97019999999999995</v>
      </c>
    </row>
    <row r="189" spans="1:13" x14ac:dyDescent="0.25">
      <c r="A189" s="2">
        <v>43482</v>
      </c>
      <c r="B189" s="1" t="s">
        <v>931</v>
      </c>
      <c r="C189" s="1" t="s">
        <v>932</v>
      </c>
      <c r="D189">
        <v>1</v>
      </c>
      <c r="E189">
        <v>14327.27</v>
      </c>
      <c r="F189">
        <v>14256</v>
      </c>
      <c r="G189">
        <v>1584</v>
      </c>
      <c r="H189" s="8">
        <f>SUM(sales_data[[#This Row],[rand discount]]/sales_data[[#This Row],[total order total]])</f>
        <v>0.11055839667989784</v>
      </c>
      <c r="I189">
        <v>10</v>
      </c>
      <c r="J189">
        <v>71.27</v>
      </c>
      <c r="K189">
        <v>15840</v>
      </c>
      <c r="L189" t="b">
        <v>0</v>
      </c>
      <c r="M189" s="13">
        <v>0.49059999999999998</v>
      </c>
    </row>
    <row r="190" spans="1:13" x14ac:dyDescent="0.25">
      <c r="A190" s="2">
        <v>43525</v>
      </c>
      <c r="B190" s="1" t="s">
        <v>72</v>
      </c>
      <c r="C190" s="1" t="s">
        <v>73</v>
      </c>
      <c r="D190">
        <v>1</v>
      </c>
      <c r="E190">
        <v>13511.81</v>
      </c>
      <c r="F190">
        <v>13447</v>
      </c>
      <c r="G190">
        <v>2373</v>
      </c>
      <c r="H190" s="8">
        <f>SUM(sales_data[[#This Row],[rand discount]]/sales_data[[#This Row],[total order total]])</f>
        <v>0.17562413917898492</v>
      </c>
      <c r="I190">
        <v>15</v>
      </c>
      <c r="J190">
        <v>64.81</v>
      </c>
      <c r="K190">
        <v>15820</v>
      </c>
      <c r="L190" t="b">
        <v>0</v>
      </c>
      <c r="M190" s="13">
        <v>1.0763</v>
      </c>
    </row>
    <row r="191" spans="1:13" x14ac:dyDescent="0.25">
      <c r="A191" s="2">
        <v>43683</v>
      </c>
      <c r="B191" s="1" t="s">
        <v>653</v>
      </c>
      <c r="C191" s="1" t="s">
        <v>654</v>
      </c>
      <c r="D191">
        <v>1</v>
      </c>
      <c r="E191">
        <v>14281.64</v>
      </c>
      <c r="F191">
        <v>14220</v>
      </c>
      <c r="G191">
        <v>1580</v>
      </c>
      <c r="H191" s="8">
        <f>SUM(sales_data[[#This Row],[rand discount]]/sales_data[[#This Row],[total order total]])</f>
        <v>0.11063155211866425</v>
      </c>
      <c r="I191">
        <v>10</v>
      </c>
      <c r="J191">
        <v>61.64</v>
      </c>
      <c r="K191">
        <v>15800</v>
      </c>
      <c r="L191" t="b">
        <v>0</v>
      </c>
      <c r="M191" s="13">
        <v>0.1459</v>
      </c>
    </row>
    <row r="192" spans="1:13" x14ac:dyDescent="0.25">
      <c r="A192" s="2">
        <v>43524</v>
      </c>
      <c r="B192" s="1" t="s">
        <v>205</v>
      </c>
      <c r="C192" s="1" t="s">
        <v>206</v>
      </c>
      <c r="D192">
        <v>2</v>
      </c>
      <c r="E192">
        <v>15747.96</v>
      </c>
      <c r="F192">
        <v>15660</v>
      </c>
      <c r="G192">
        <v>0</v>
      </c>
      <c r="H192" s="8">
        <f>SUM(sales_data[[#This Row],[rand discount]]/sales_data[[#This Row],[total order total]])</f>
        <v>0</v>
      </c>
      <c r="I192">
        <v>0</v>
      </c>
      <c r="J192">
        <v>87.96</v>
      </c>
      <c r="K192">
        <v>15660</v>
      </c>
      <c r="L192" t="b">
        <v>1</v>
      </c>
      <c r="M192" s="13">
        <v>0.35849999999999999</v>
      </c>
    </row>
    <row r="193" spans="1:13" x14ac:dyDescent="0.25">
      <c r="A193" s="2">
        <v>43587</v>
      </c>
      <c r="B193" s="1" t="s">
        <v>341</v>
      </c>
      <c r="C193" s="1" t="s">
        <v>342</v>
      </c>
      <c r="D193">
        <v>1</v>
      </c>
      <c r="E193">
        <v>14172.02</v>
      </c>
      <c r="F193">
        <v>14094</v>
      </c>
      <c r="G193">
        <v>1566</v>
      </c>
      <c r="H193" s="8">
        <f>SUM(sales_data[[#This Row],[rand discount]]/sales_data[[#This Row],[total order total]])</f>
        <v>0.11049942068949944</v>
      </c>
      <c r="I193">
        <v>10</v>
      </c>
      <c r="J193">
        <v>78.02</v>
      </c>
      <c r="K193">
        <v>15660</v>
      </c>
      <c r="L193" t="b">
        <v>1</v>
      </c>
      <c r="M193" s="13">
        <v>0.6028</v>
      </c>
    </row>
    <row r="194" spans="1:13" x14ac:dyDescent="0.25">
      <c r="A194" s="2">
        <v>43649</v>
      </c>
      <c r="B194" s="1" t="s">
        <v>455</v>
      </c>
      <c r="C194" s="1" t="s">
        <v>456</v>
      </c>
      <c r="D194">
        <v>3</v>
      </c>
      <c r="E194">
        <v>14145.5</v>
      </c>
      <c r="F194">
        <v>14062.5</v>
      </c>
      <c r="G194">
        <v>1562.5</v>
      </c>
      <c r="H194" s="8">
        <f>SUM(sales_data[[#This Row],[rand discount]]/sales_data[[#This Row],[total order total]])</f>
        <v>0.11045915662224735</v>
      </c>
      <c r="I194">
        <v>10</v>
      </c>
      <c r="J194">
        <v>83</v>
      </c>
      <c r="K194">
        <v>15625</v>
      </c>
      <c r="L194" t="b">
        <v>1</v>
      </c>
      <c r="M194" s="13">
        <v>1.7613000000000001</v>
      </c>
    </row>
    <row r="195" spans="1:13" x14ac:dyDescent="0.25">
      <c r="A195" s="2">
        <v>43516</v>
      </c>
      <c r="B195" s="1" t="s">
        <v>757</v>
      </c>
      <c r="C195" s="1" t="s">
        <v>758</v>
      </c>
      <c r="D195">
        <v>1</v>
      </c>
      <c r="E195">
        <v>11716.9</v>
      </c>
      <c r="F195">
        <v>11658.75</v>
      </c>
      <c r="G195">
        <v>3886.25</v>
      </c>
      <c r="H195" s="8">
        <f>SUM(sales_data[[#This Row],[rand discount]]/sales_data[[#This Row],[total order total]])</f>
        <v>0.33167902772917751</v>
      </c>
      <c r="I195">
        <v>25</v>
      </c>
      <c r="J195">
        <v>58.15</v>
      </c>
      <c r="K195">
        <v>15545</v>
      </c>
      <c r="L195" t="b">
        <v>0</v>
      </c>
      <c r="M195" s="13">
        <v>0.84860000000000002</v>
      </c>
    </row>
    <row r="196" spans="1:13" x14ac:dyDescent="0.25">
      <c r="A196" s="2">
        <v>43548</v>
      </c>
      <c r="B196" s="1" t="s">
        <v>435</v>
      </c>
      <c r="C196" s="1" t="s">
        <v>436</v>
      </c>
      <c r="D196">
        <v>2</v>
      </c>
      <c r="E196">
        <v>11675.44</v>
      </c>
      <c r="F196">
        <v>11595</v>
      </c>
      <c r="G196">
        <v>3865</v>
      </c>
      <c r="H196" s="8">
        <f>SUM(sales_data[[#This Row],[rand discount]]/sales_data[[#This Row],[total order total]])</f>
        <v>0.33103677463119163</v>
      </c>
      <c r="I196">
        <v>25</v>
      </c>
      <c r="J196">
        <v>80.44</v>
      </c>
      <c r="K196">
        <v>15460</v>
      </c>
      <c r="L196" t="b">
        <v>1</v>
      </c>
      <c r="M196" s="13">
        <v>1.3432999999999999</v>
      </c>
    </row>
    <row r="197" spans="1:13" x14ac:dyDescent="0.25">
      <c r="A197" s="2">
        <v>43813</v>
      </c>
      <c r="B197" s="1" t="s">
        <v>667</v>
      </c>
      <c r="C197" s="1" t="s">
        <v>668</v>
      </c>
      <c r="D197">
        <v>3</v>
      </c>
      <c r="E197">
        <v>14602.8</v>
      </c>
      <c r="F197">
        <v>14525.5</v>
      </c>
      <c r="G197">
        <v>764.5</v>
      </c>
      <c r="H197" s="8">
        <f>SUM(sales_data[[#This Row],[rand discount]]/sales_data[[#This Row],[total order total]])</f>
        <v>5.2352973402361197E-2</v>
      </c>
      <c r="I197">
        <v>5</v>
      </c>
      <c r="J197">
        <v>77.3</v>
      </c>
      <c r="K197">
        <v>15290</v>
      </c>
      <c r="L197" t="b">
        <v>1</v>
      </c>
      <c r="M197" s="13">
        <v>0.69699999999999995</v>
      </c>
    </row>
    <row r="198" spans="1:13" x14ac:dyDescent="0.25">
      <c r="A198" s="2">
        <v>43755</v>
      </c>
      <c r="B198" s="1" t="s">
        <v>89</v>
      </c>
      <c r="C198" s="1" t="s">
        <v>90</v>
      </c>
      <c r="D198">
        <v>3</v>
      </c>
      <c r="E198">
        <v>13075.21</v>
      </c>
      <c r="F198">
        <v>12983.75</v>
      </c>
      <c r="G198">
        <v>2291.25</v>
      </c>
      <c r="H198" s="8">
        <f>SUM(sales_data[[#This Row],[rand discount]]/sales_data[[#This Row],[total order total]])</f>
        <v>0.17523619123516945</v>
      </c>
      <c r="I198">
        <v>15</v>
      </c>
      <c r="J198">
        <v>91.46</v>
      </c>
      <c r="K198">
        <v>15275</v>
      </c>
      <c r="L198" t="b">
        <v>1</v>
      </c>
      <c r="M198" s="13">
        <v>1.62</v>
      </c>
    </row>
    <row r="199" spans="1:13" x14ac:dyDescent="0.25">
      <c r="A199" s="2">
        <v>43761</v>
      </c>
      <c r="B199" s="1" t="s">
        <v>431</v>
      </c>
      <c r="C199" s="1" t="s">
        <v>432</v>
      </c>
      <c r="D199">
        <v>1</v>
      </c>
      <c r="E199">
        <v>14607.17</v>
      </c>
      <c r="F199">
        <v>14497</v>
      </c>
      <c r="G199">
        <v>763</v>
      </c>
      <c r="H199" s="8">
        <f>SUM(sales_data[[#This Row],[rand discount]]/sales_data[[#This Row],[total order total]])</f>
        <v>5.2234621764517014E-2</v>
      </c>
      <c r="I199">
        <v>5</v>
      </c>
      <c r="J199">
        <v>110.17</v>
      </c>
      <c r="K199">
        <v>15260</v>
      </c>
      <c r="L199" t="b">
        <v>1</v>
      </c>
      <c r="M199" s="13">
        <v>1.7727999999999999</v>
      </c>
    </row>
    <row r="200" spans="1:13" x14ac:dyDescent="0.25">
      <c r="A200" s="2">
        <v>43489</v>
      </c>
      <c r="B200" s="1" t="s">
        <v>893</v>
      </c>
      <c r="C200" s="1" t="s">
        <v>894</v>
      </c>
      <c r="D200">
        <v>3</v>
      </c>
      <c r="E200">
        <v>13796.43</v>
      </c>
      <c r="F200">
        <v>13702.5</v>
      </c>
      <c r="G200">
        <v>1522.5</v>
      </c>
      <c r="H200" s="8">
        <f>SUM(sales_data[[#This Row],[rand discount]]/sales_data[[#This Row],[total order total]])</f>
        <v>0.11035463522085061</v>
      </c>
      <c r="I200">
        <v>10</v>
      </c>
      <c r="J200">
        <v>93.93</v>
      </c>
      <c r="K200">
        <v>15225</v>
      </c>
      <c r="L200" t="b">
        <v>1</v>
      </c>
      <c r="M200" s="13">
        <v>0.89490000000000003</v>
      </c>
    </row>
    <row r="201" spans="1:13" x14ac:dyDescent="0.25">
      <c r="A201" s="2">
        <v>43557</v>
      </c>
      <c r="B201" s="1" t="s">
        <v>849</v>
      </c>
      <c r="C201" s="1" t="s">
        <v>850</v>
      </c>
      <c r="D201">
        <v>1</v>
      </c>
      <c r="E201">
        <v>13683.9</v>
      </c>
      <c r="F201">
        <v>13617</v>
      </c>
      <c r="G201">
        <v>1513</v>
      </c>
      <c r="H201" s="8">
        <f>SUM(sales_data[[#This Row],[rand discount]]/sales_data[[#This Row],[total order total]])</f>
        <v>0.11056789365604835</v>
      </c>
      <c r="I201">
        <v>10</v>
      </c>
      <c r="J201">
        <v>66.900000000000006</v>
      </c>
      <c r="K201">
        <v>15130</v>
      </c>
      <c r="L201" t="b">
        <v>0</v>
      </c>
      <c r="M201" s="13">
        <v>1.0974999999999999</v>
      </c>
    </row>
    <row r="202" spans="1:13" x14ac:dyDescent="0.25">
      <c r="A202" s="2">
        <v>43756</v>
      </c>
      <c r="B202" s="1" t="s">
        <v>231</v>
      </c>
      <c r="C202" s="1" t="s">
        <v>232</v>
      </c>
      <c r="D202">
        <v>3</v>
      </c>
      <c r="E202">
        <v>15182.58</v>
      </c>
      <c r="F202">
        <v>15080</v>
      </c>
      <c r="G202">
        <v>0</v>
      </c>
      <c r="H202" s="8">
        <f>SUM(sales_data[[#This Row],[rand discount]]/sales_data[[#This Row],[total order total]])</f>
        <v>0</v>
      </c>
      <c r="I202">
        <v>0</v>
      </c>
      <c r="J202">
        <v>102.58</v>
      </c>
      <c r="K202">
        <v>15080</v>
      </c>
      <c r="L202" t="b">
        <v>1</v>
      </c>
      <c r="M202" s="13">
        <v>1.1248</v>
      </c>
    </row>
    <row r="203" spans="1:13" x14ac:dyDescent="0.25">
      <c r="A203" s="2">
        <v>43663</v>
      </c>
      <c r="B203" s="1" t="s">
        <v>597</v>
      </c>
      <c r="C203" s="1" t="s">
        <v>598</v>
      </c>
      <c r="D203">
        <v>3</v>
      </c>
      <c r="E203">
        <v>12901.03</v>
      </c>
      <c r="F203">
        <v>12818</v>
      </c>
      <c r="G203">
        <v>2262</v>
      </c>
      <c r="H203" s="8">
        <f>SUM(sales_data[[#This Row],[rand discount]]/sales_data[[#This Row],[total order total]])</f>
        <v>0.17533483760598959</v>
      </c>
      <c r="I203">
        <v>15</v>
      </c>
      <c r="J203">
        <v>83.03</v>
      </c>
      <c r="K203">
        <v>15080</v>
      </c>
      <c r="L203" t="b">
        <v>1</v>
      </c>
      <c r="M203" s="13">
        <v>1.8971</v>
      </c>
    </row>
    <row r="204" spans="1:13" x14ac:dyDescent="0.25">
      <c r="A204" s="2">
        <v>43565</v>
      </c>
      <c r="B204" s="1" t="s">
        <v>471</v>
      </c>
      <c r="C204" s="1" t="s">
        <v>472</v>
      </c>
      <c r="D204">
        <v>3</v>
      </c>
      <c r="E204">
        <v>15154.79</v>
      </c>
      <c r="F204">
        <v>15075</v>
      </c>
      <c r="G204">
        <v>0</v>
      </c>
      <c r="H204" s="8">
        <f>SUM(sales_data[[#This Row],[rand discount]]/sales_data[[#This Row],[total order total]])</f>
        <v>0</v>
      </c>
      <c r="I204">
        <v>0</v>
      </c>
      <c r="J204">
        <v>79.790000000000006</v>
      </c>
      <c r="K204">
        <v>15075</v>
      </c>
      <c r="L204" t="b">
        <v>1</v>
      </c>
      <c r="M204" s="13">
        <v>1.0948</v>
      </c>
    </row>
    <row r="205" spans="1:13" x14ac:dyDescent="0.25">
      <c r="A205" s="2">
        <v>43600</v>
      </c>
      <c r="B205" s="1" t="s">
        <v>583</v>
      </c>
      <c r="C205" s="1" t="s">
        <v>584</v>
      </c>
      <c r="D205">
        <v>2</v>
      </c>
      <c r="E205">
        <v>14395.63</v>
      </c>
      <c r="F205">
        <v>14316.5</v>
      </c>
      <c r="G205">
        <v>753.5</v>
      </c>
      <c r="H205" s="8">
        <f>SUM(sales_data[[#This Row],[rand discount]]/sales_data[[#This Row],[total order total]])</f>
        <v>5.2342273314887923E-2</v>
      </c>
      <c r="I205">
        <v>5</v>
      </c>
      <c r="J205">
        <v>79.13</v>
      </c>
      <c r="K205">
        <v>15070</v>
      </c>
      <c r="L205" t="b">
        <v>1</v>
      </c>
      <c r="M205" s="13">
        <v>1.0327999999999999</v>
      </c>
    </row>
    <row r="206" spans="1:13" x14ac:dyDescent="0.25">
      <c r="A206" s="2">
        <v>43540</v>
      </c>
      <c r="B206" s="1" t="s">
        <v>737</v>
      </c>
      <c r="C206" s="1" t="s">
        <v>738</v>
      </c>
      <c r="D206">
        <v>2</v>
      </c>
      <c r="E206">
        <v>14369.42</v>
      </c>
      <c r="F206">
        <v>14316.5</v>
      </c>
      <c r="G206">
        <v>753.5</v>
      </c>
      <c r="H206" s="8">
        <f>SUM(sales_data[[#This Row],[rand discount]]/sales_data[[#This Row],[total order total]])</f>
        <v>5.2437746269508444E-2</v>
      </c>
      <c r="I206">
        <v>5</v>
      </c>
      <c r="J206">
        <v>52.92</v>
      </c>
      <c r="K206">
        <v>15070</v>
      </c>
      <c r="L206" t="b">
        <v>0</v>
      </c>
      <c r="M206" s="13">
        <v>1.4507000000000001</v>
      </c>
    </row>
    <row r="207" spans="1:13" x14ac:dyDescent="0.25">
      <c r="A207" s="2">
        <v>43486</v>
      </c>
      <c r="B207" s="1" t="s">
        <v>763</v>
      </c>
      <c r="C207" s="1" t="s">
        <v>764</v>
      </c>
      <c r="D207">
        <v>2</v>
      </c>
      <c r="E207">
        <v>11374.78</v>
      </c>
      <c r="F207">
        <v>11302.5</v>
      </c>
      <c r="G207">
        <v>3767.5</v>
      </c>
      <c r="H207" s="8">
        <f>SUM(sales_data[[#This Row],[rand discount]]/sales_data[[#This Row],[total order total]])</f>
        <v>0.33121519712908731</v>
      </c>
      <c r="I207">
        <v>25</v>
      </c>
      <c r="J207">
        <v>72.28</v>
      </c>
      <c r="K207">
        <v>15070</v>
      </c>
      <c r="L207" t="b">
        <v>0</v>
      </c>
      <c r="M207" s="13">
        <v>0.74380000000000002</v>
      </c>
    </row>
    <row r="208" spans="1:13" x14ac:dyDescent="0.25">
      <c r="A208" s="2">
        <v>43637</v>
      </c>
      <c r="B208" s="1" t="s">
        <v>684</v>
      </c>
      <c r="C208" s="1" t="s">
        <v>685</v>
      </c>
      <c r="D208">
        <v>2</v>
      </c>
      <c r="E208">
        <v>15082.98</v>
      </c>
      <c r="F208">
        <v>15005</v>
      </c>
      <c r="G208">
        <v>0</v>
      </c>
      <c r="H208" s="8">
        <f>SUM(sales_data[[#This Row],[rand discount]]/sales_data[[#This Row],[total order total]])</f>
        <v>0</v>
      </c>
      <c r="I208">
        <v>0</v>
      </c>
      <c r="J208">
        <v>77.98</v>
      </c>
      <c r="K208">
        <v>15005</v>
      </c>
      <c r="L208" t="b">
        <v>1</v>
      </c>
      <c r="M208" s="13">
        <v>0.8296</v>
      </c>
    </row>
    <row r="209" spans="1:13" x14ac:dyDescent="0.25">
      <c r="A209" s="2">
        <v>43780</v>
      </c>
      <c r="B209" s="1" t="s">
        <v>209</v>
      </c>
      <c r="C209" s="1" t="s">
        <v>210</v>
      </c>
      <c r="D209">
        <v>1</v>
      </c>
      <c r="E209">
        <v>12808.56</v>
      </c>
      <c r="F209">
        <v>12707.5</v>
      </c>
      <c r="G209">
        <v>2242.5</v>
      </c>
      <c r="H209" s="8">
        <f>SUM(sales_data[[#This Row],[rand discount]]/sales_data[[#This Row],[total order total]])</f>
        <v>0.17507822893440012</v>
      </c>
      <c r="I209">
        <v>15</v>
      </c>
      <c r="J209">
        <v>101.06</v>
      </c>
      <c r="K209">
        <v>14950</v>
      </c>
      <c r="L209" t="b">
        <v>1</v>
      </c>
      <c r="M209" s="13">
        <v>0.92620000000000002</v>
      </c>
    </row>
    <row r="210" spans="1:13" x14ac:dyDescent="0.25">
      <c r="A210" s="2">
        <v>43597</v>
      </c>
      <c r="B210" s="1" t="s">
        <v>649</v>
      </c>
      <c r="C210" s="1" t="s">
        <v>650</v>
      </c>
      <c r="D210">
        <v>2</v>
      </c>
      <c r="E210">
        <v>14251.49</v>
      </c>
      <c r="F210">
        <v>14202.5</v>
      </c>
      <c r="G210">
        <v>747.5</v>
      </c>
      <c r="H210" s="8">
        <f>SUM(sales_data[[#This Row],[rand discount]]/sales_data[[#This Row],[total order total]])</f>
        <v>5.2450656036667043E-2</v>
      </c>
      <c r="I210">
        <v>5</v>
      </c>
      <c r="J210">
        <v>48.99</v>
      </c>
      <c r="K210">
        <v>14950</v>
      </c>
      <c r="L210" t="b">
        <v>0</v>
      </c>
      <c r="M210" s="13">
        <v>0.56489999999999996</v>
      </c>
    </row>
    <row r="211" spans="1:13" x14ac:dyDescent="0.25">
      <c r="A211" s="2">
        <v>43771</v>
      </c>
      <c r="B211" s="1" t="s">
        <v>770</v>
      </c>
      <c r="C211" s="1" t="s">
        <v>771</v>
      </c>
      <c r="D211">
        <v>2</v>
      </c>
      <c r="E211">
        <v>13515.7</v>
      </c>
      <c r="F211">
        <v>13414.5</v>
      </c>
      <c r="G211">
        <v>1490.5</v>
      </c>
      <c r="H211" s="8">
        <f>SUM(sales_data[[#This Row],[rand discount]]/sales_data[[#This Row],[total order total]])</f>
        <v>0.11027915683242451</v>
      </c>
      <c r="I211">
        <v>10</v>
      </c>
      <c r="J211">
        <v>101.2</v>
      </c>
      <c r="K211">
        <v>14905</v>
      </c>
      <c r="L211" t="b">
        <v>1</v>
      </c>
      <c r="M211" s="13">
        <v>0.69320000000000004</v>
      </c>
    </row>
    <row r="212" spans="1:13" x14ac:dyDescent="0.25">
      <c r="A212" s="2">
        <v>43526</v>
      </c>
      <c r="B212" s="1" t="s">
        <v>903</v>
      </c>
      <c r="C212" s="1" t="s">
        <v>904</v>
      </c>
      <c r="D212">
        <v>3</v>
      </c>
      <c r="E212">
        <v>13428.25</v>
      </c>
      <c r="F212">
        <v>13360.5</v>
      </c>
      <c r="G212">
        <v>1484.5</v>
      </c>
      <c r="H212" s="8">
        <f>SUM(sales_data[[#This Row],[rand discount]]/sales_data[[#This Row],[total order total]])</f>
        <v>0.11055051849645338</v>
      </c>
      <c r="I212">
        <v>10</v>
      </c>
      <c r="J212">
        <v>67.75</v>
      </c>
      <c r="K212">
        <v>14845</v>
      </c>
      <c r="L212" t="b">
        <v>0</v>
      </c>
      <c r="M212" s="13">
        <v>1.6145</v>
      </c>
    </row>
    <row r="213" spans="1:13" x14ac:dyDescent="0.25">
      <c r="A213" s="2">
        <v>43687</v>
      </c>
      <c r="B213" s="1" t="s">
        <v>42</v>
      </c>
      <c r="C213" s="1" t="s">
        <v>43</v>
      </c>
      <c r="D213">
        <v>2</v>
      </c>
      <c r="E213">
        <v>11188.19</v>
      </c>
      <c r="F213">
        <v>11107.5</v>
      </c>
      <c r="G213">
        <v>3702.5</v>
      </c>
      <c r="H213" s="8">
        <f>SUM(sales_data[[#This Row],[rand discount]]/sales_data[[#This Row],[total order total]])</f>
        <v>0.33092931028164518</v>
      </c>
      <c r="I213">
        <v>25</v>
      </c>
      <c r="J213">
        <v>80.69</v>
      </c>
      <c r="K213">
        <v>14810</v>
      </c>
      <c r="L213" t="b">
        <v>1</v>
      </c>
      <c r="M213" s="13">
        <v>1.6104000000000001</v>
      </c>
    </row>
    <row r="214" spans="1:13" x14ac:dyDescent="0.25">
      <c r="A214" s="2">
        <v>43635</v>
      </c>
      <c r="B214" s="1" t="s">
        <v>907</v>
      </c>
      <c r="C214" s="1" t="s">
        <v>908</v>
      </c>
      <c r="D214">
        <v>3</v>
      </c>
      <c r="E214">
        <v>12660.46</v>
      </c>
      <c r="F214">
        <v>12580</v>
      </c>
      <c r="G214">
        <v>2220</v>
      </c>
      <c r="H214" s="8">
        <f>SUM(sales_data[[#This Row],[rand discount]]/sales_data[[#This Row],[total order total]])</f>
        <v>0.17534907894341914</v>
      </c>
      <c r="I214">
        <v>15</v>
      </c>
      <c r="J214">
        <v>80.459999999999994</v>
      </c>
      <c r="K214">
        <v>14800</v>
      </c>
      <c r="L214" t="b">
        <v>1</v>
      </c>
      <c r="M214" s="13">
        <v>1.3817999999999999</v>
      </c>
    </row>
    <row r="215" spans="1:13" x14ac:dyDescent="0.25">
      <c r="A215" s="2">
        <v>43480</v>
      </c>
      <c r="B215" s="1" t="s">
        <v>553</v>
      </c>
      <c r="C215" s="1" t="s">
        <v>554</v>
      </c>
      <c r="D215">
        <v>2</v>
      </c>
      <c r="E215">
        <v>14744.86</v>
      </c>
      <c r="F215">
        <v>14685</v>
      </c>
      <c r="G215">
        <v>0</v>
      </c>
      <c r="H215" s="8">
        <f>SUM(sales_data[[#This Row],[rand discount]]/sales_data[[#This Row],[total order total]])</f>
        <v>0</v>
      </c>
      <c r="I215">
        <v>0</v>
      </c>
      <c r="J215">
        <v>59.86</v>
      </c>
      <c r="K215">
        <v>14685</v>
      </c>
      <c r="L215" t="b">
        <v>0</v>
      </c>
      <c r="M215" s="13">
        <v>1.0052000000000001</v>
      </c>
    </row>
    <row r="216" spans="1:13" x14ac:dyDescent="0.25">
      <c r="A216" s="2">
        <v>43664</v>
      </c>
      <c r="B216" s="1" t="s">
        <v>451</v>
      </c>
      <c r="C216" s="1" t="s">
        <v>452</v>
      </c>
      <c r="D216">
        <v>2</v>
      </c>
      <c r="E216">
        <v>11075.9</v>
      </c>
      <c r="F216">
        <v>11002.5</v>
      </c>
      <c r="G216">
        <v>3667.5</v>
      </c>
      <c r="H216" s="8">
        <f>SUM(sales_data[[#This Row],[rand discount]]/sales_data[[#This Row],[total order total]])</f>
        <v>0.33112433301131289</v>
      </c>
      <c r="I216">
        <v>25</v>
      </c>
      <c r="J216">
        <v>73.400000000000006</v>
      </c>
      <c r="K216">
        <v>14670</v>
      </c>
      <c r="L216" t="b">
        <v>1</v>
      </c>
      <c r="M216" s="13">
        <v>0.44259999999999999</v>
      </c>
    </row>
    <row r="217" spans="1:13" x14ac:dyDescent="0.25">
      <c r="A217" s="2">
        <v>43474</v>
      </c>
      <c r="B217" s="1" t="s">
        <v>265</v>
      </c>
      <c r="C217" s="1" t="s">
        <v>266</v>
      </c>
      <c r="D217">
        <v>2</v>
      </c>
      <c r="E217">
        <v>13757.19</v>
      </c>
      <c r="F217">
        <v>13699</v>
      </c>
      <c r="G217">
        <v>721</v>
      </c>
      <c r="H217" s="8">
        <f>SUM(sales_data[[#This Row],[rand discount]]/sales_data[[#This Row],[total order total]])</f>
        <v>5.2408958515510799E-2</v>
      </c>
      <c r="I217">
        <v>5</v>
      </c>
      <c r="J217">
        <v>58.19</v>
      </c>
      <c r="K217">
        <v>14420</v>
      </c>
      <c r="L217" t="b">
        <v>0</v>
      </c>
      <c r="M217" s="13">
        <v>0.79920000000000002</v>
      </c>
    </row>
    <row r="218" spans="1:13" x14ac:dyDescent="0.25">
      <c r="A218" s="2">
        <v>43473</v>
      </c>
      <c r="B218" s="1" t="s">
        <v>429</v>
      </c>
      <c r="C218" s="1" t="s">
        <v>430</v>
      </c>
      <c r="D218">
        <v>1</v>
      </c>
      <c r="E218">
        <v>13751.19</v>
      </c>
      <c r="F218">
        <v>13670.5</v>
      </c>
      <c r="G218">
        <v>719.5</v>
      </c>
      <c r="H218" s="8">
        <f>SUM(sales_data[[#This Row],[rand discount]]/sales_data[[#This Row],[total order total]])</f>
        <v>5.232274443157283E-2</v>
      </c>
      <c r="I218">
        <v>5</v>
      </c>
      <c r="J218">
        <v>80.69</v>
      </c>
      <c r="K218">
        <v>14390</v>
      </c>
      <c r="L218" t="b">
        <v>0</v>
      </c>
      <c r="M218" s="13">
        <v>1.7369000000000001</v>
      </c>
    </row>
    <row r="219" spans="1:13" x14ac:dyDescent="0.25">
      <c r="A219" s="2">
        <v>43752</v>
      </c>
      <c r="B219" s="1" t="s">
        <v>751</v>
      </c>
      <c r="C219" s="1" t="s">
        <v>752</v>
      </c>
      <c r="D219">
        <v>2</v>
      </c>
      <c r="E219">
        <v>12272.74</v>
      </c>
      <c r="F219">
        <v>12172</v>
      </c>
      <c r="G219">
        <v>2148</v>
      </c>
      <c r="H219" s="8">
        <f>SUM(sales_data[[#This Row],[rand discount]]/sales_data[[#This Row],[total order total]])</f>
        <v>0.17502204071788371</v>
      </c>
      <c r="I219">
        <v>15</v>
      </c>
      <c r="J219">
        <v>100.74</v>
      </c>
      <c r="K219">
        <v>14320</v>
      </c>
      <c r="L219" t="b">
        <v>1</v>
      </c>
      <c r="M219" s="13">
        <v>0.70579999999999998</v>
      </c>
    </row>
    <row r="220" spans="1:13" x14ac:dyDescent="0.25">
      <c r="A220" s="2">
        <v>43732</v>
      </c>
      <c r="B220" s="1" t="s">
        <v>878</v>
      </c>
      <c r="C220" s="1" t="s">
        <v>879</v>
      </c>
      <c r="D220">
        <v>1</v>
      </c>
      <c r="E220">
        <v>10823.83</v>
      </c>
      <c r="F220">
        <v>10710</v>
      </c>
      <c r="G220">
        <v>3570</v>
      </c>
      <c r="H220" s="8">
        <f>SUM(sales_data[[#This Row],[rand discount]]/sales_data[[#This Row],[total order total]])</f>
        <v>0.32982779663021317</v>
      </c>
      <c r="I220">
        <v>25</v>
      </c>
      <c r="J220">
        <v>113.83</v>
      </c>
      <c r="K220">
        <v>14280</v>
      </c>
      <c r="L220" t="b">
        <v>1</v>
      </c>
      <c r="M220" s="13">
        <v>2.2021000000000002</v>
      </c>
    </row>
    <row r="221" spans="1:13" x14ac:dyDescent="0.25">
      <c r="A221" s="2">
        <v>43518</v>
      </c>
      <c r="B221" s="1" t="s">
        <v>161</v>
      </c>
      <c r="C221" s="1" t="s">
        <v>162</v>
      </c>
      <c r="D221">
        <v>1</v>
      </c>
      <c r="E221">
        <v>12210.93</v>
      </c>
      <c r="F221">
        <v>12133.75</v>
      </c>
      <c r="G221">
        <v>2141.25</v>
      </c>
      <c r="H221" s="8">
        <f>SUM(sales_data[[#This Row],[rand discount]]/sales_data[[#This Row],[total order total]])</f>
        <v>0.17535519407612687</v>
      </c>
      <c r="I221">
        <v>15</v>
      </c>
      <c r="J221">
        <v>77.180000000000007</v>
      </c>
      <c r="K221">
        <v>14275</v>
      </c>
      <c r="L221" t="b">
        <v>0</v>
      </c>
      <c r="M221" s="13">
        <v>1.0299</v>
      </c>
    </row>
    <row r="222" spans="1:13" x14ac:dyDescent="0.25">
      <c r="A222" s="2">
        <v>43804</v>
      </c>
      <c r="B222" s="1" t="s">
        <v>663</v>
      </c>
      <c r="C222" s="1" t="s">
        <v>664</v>
      </c>
      <c r="D222">
        <v>2</v>
      </c>
      <c r="E222">
        <v>10789.56</v>
      </c>
      <c r="F222">
        <v>10695</v>
      </c>
      <c r="G222">
        <v>3565</v>
      </c>
      <c r="H222" s="8">
        <f>SUM(sales_data[[#This Row],[rand discount]]/sales_data[[#This Row],[total order total]])</f>
        <v>0.33041199085041467</v>
      </c>
      <c r="I222">
        <v>25</v>
      </c>
      <c r="J222">
        <v>94.56</v>
      </c>
      <c r="K222">
        <v>14260</v>
      </c>
      <c r="L222" t="b">
        <v>1</v>
      </c>
      <c r="M222" s="13">
        <v>0.91300000000000003</v>
      </c>
    </row>
    <row r="223" spans="1:13" x14ac:dyDescent="0.25">
      <c r="A223" s="2">
        <v>43703</v>
      </c>
      <c r="B223" s="1" t="s">
        <v>659</v>
      </c>
      <c r="C223" s="1" t="s">
        <v>660</v>
      </c>
      <c r="D223">
        <v>3</v>
      </c>
      <c r="E223">
        <v>14230.71</v>
      </c>
      <c r="F223">
        <v>14175</v>
      </c>
      <c r="G223">
        <v>0</v>
      </c>
      <c r="H223" s="8">
        <f>SUM(sales_data[[#This Row],[rand discount]]/sales_data[[#This Row],[total order total]])</f>
        <v>0</v>
      </c>
      <c r="I223">
        <v>0</v>
      </c>
      <c r="J223">
        <v>55.71</v>
      </c>
      <c r="K223">
        <v>14175</v>
      </c>
      <c r="L223" t="b">
        <v>0</v>
      </c>
      <c r="M223" s="13">
        <v>94.973399999999998</v>
      </c>
    </row>
    <row r="224" spans="1:13" x14ac:dyDescent="0.25">
      <c r="A224" s="2">
        <v>43639</v>
      </c>
      <c r="B224" s="1" t="s">
        <v>187</v>
      </c>
      <c r="C224" s="1" t="s">
        <v>188</v>
      </c>
      <c r="D224">
        <v>1</v>
      </c>
      <c r="E224">
        <v>12835.27</v>
      </c>
      <c r="F224">
        <v>12753</v>
      </c>
      <c r="G224">
        <v>1417</v>
      </c>
      <c r="H224" s="8">
        <f>SUM(sales_data[[#This Row],[rand discount]]/sales_data[[#This Row],[total order total]])</f>
        <v>0.1103989242142939</v>
      </c>
      <c r="I224">
        <v>10</v>
      </c>
      <c r="J224">
        <v>82.27</v>
      </c>
      <c r="K224">
        <v>14170</v>
      </c>
      <c r="L224" t="b">
        <v>1</v>
      </c>
      <c r="M224" s="13">
        <v>1.8681000000000001</v>
      </c>
    </row>
    <row r="225" spans="1:13" x14ac:dyDescent="0.25">
      <c r="A225" s="2">
        <v>43629</v>
      </c>
      <c r="B225" s="1" t="s">
        <v>183</v>
      </c>
      <c r="C225" s="1" t="s">
        <v>184</v>
      </c>
      <c r="D225">
        <v>1</v>
      </c>
      <c r="E225">
        <v>12808.11</v>
      </c>
      <c r="F225">
        <v>12735</v>
      </c>
      <c r="G225">
        <v>1415</v>
      </c>
      <c r="H225" s="8">
        <f>SUM(sales_data[[#This Row],[rand discount]]/sales_data[[#This Row],[total order total]])</f>
        <v>0.11047687754087059</v>
      </c>
      <c r="I225">
        <v>10</v>
      </c>
      <c r="J225">
        <v>73.11</v>
      </c>
      <c r="K225">
        <v>14150</v>
      </c>
      <c r="L225" t="b">
        <v>0</v>
      </c>
      <c r="M225" s="13">
        <v>1.9854000000000001</v>
      </c>
    </row>
    <row r="226" spans="1:13" x14ac:dyDescent="0.25">
      <c r="A226" s="2">
        <v>43498</v>
      </c>
      <c r="B226" s="1" t="s">
        <v>93</v>
      </c>
      <c r="C226" s="1" t="s">
        <v>94</v>
      </c>
      <c r="D226">
        <v>2</v>
      </c>
      <c r="E226">
        <v>12032.83</v>
      </c>
      <c r="F226">
        <v>11959.5</v>
      </c>
      <c r="G226">
        <v>2110.5</v>
      </c>
      <c r="H226" s="8">
        <f>SUM(sales_data[[#This Row],[rand discount]]/sales_data[[#This Row],[total order total]])</f>
        <v>0.17539514810730311</v>
      </c>
      <c r="I226">
        <v>15</v>
      </c>
      <c r="J226">
        <v>73.33</v>
      </c>
      <c r="K226">
        <v>14070</v>
      </c>
      <c r="L226" t="b">
        <v>0</v>
      </c>
      <c r="M226" s="13">
        <v>0.97570000000000001</v>
      </c>
    </row>
    <row r="227" spans="1:13" x14ac:dyDescent="0.25">
      <c r="A227" s="2">
        <v>43714</v>
      </c>
      <c r="B227" s="1" t="s">
        <v>217</v>
      </c>
      <c r="C227" s="1" t="s">
        <v>218</v>
      </c>
      <c r="D227">
        <v>3</v>
      </c>
      <c r="E227">
        <v>10626.39</v>
      </c>
      <c r="F227">
        <v>10548.75</v>
      </c>
      <c r="G227">
        <v>3516.25</v>
      </c>
      <c r="H227" s="8">
        <f>SUM(sales_data[[#This Row],[rand discount]]/sales_data[[#This Row],[total order total]])</f>
        <v>0.33089788724110447</v>
      </c>
      <c r="I227">
        <v>25</v>
      </c>
      <c r="J227">
        <v>77.64</v>
      </c>
      <c r="K227">
        <v>14065</v>
      </c>
      <c r="L227" t="b">
        <v>0</v>
      </c>
      <c r="M227" s="13">
        <v>1.0406</v>
      </c>
    </row>
    <row r="228" spans="1:13" x14ac:dyDescent="0.25">
      <c r="A228" s="2">
        <v>43626</v>
      </c>
      <c r="B228" s="1" t="s">
        <v>191</v>
      </c>
      <c r="C228" s="1" t="s">
        <v>192</v>
      </c>
      <c r="D228">
        <v>1</v>
      </c>
      <c r="E228">
        <v>13390.16</v>
      </c>
      <c r="F228">
        <v>13309.5</v>
      </c>
      <c r="G228">
        <v>700.5</v>
      </c>
      <c r="H228" s="8">
        <f>SUM(sales_data[[#This Row],[rand discount]]/sales_data[[#This Row],[total order total]])</f>
        <v>5.2314535449912471E-2</v>
      </c>
      <c r="I228">
        <v>5</v>
      </c>
      <c r="J228">
        <v>80.66</v>
      </c>
      <c r="K228">
        <v>14010</v>
      </c>
      <c r="L228" t="b">
        <v>1</v>
      </c>
      <c r="M228" s="13">
        <v>1.1787000000000001</v>
      </c>
    </row>
    <row r="229" spans="1:13" x14ac:dyDescent="0.25">
      <c r="A229" s="2">
        <v>43510</v>
      </c>
      <c r="B229" s="1" t="s">
        <v>103</v>
      </c>
      <c r="C229" s="1" t="s">
        <v>104</v>
      </c>
      <c r="D229">
        <v>1</v>
      </c>
      <c r="E229">
        <v>10598.3</v>
      </c>
      <c r="F229">
        <v>10500</v>
      </c>
      <c r="G229">
        <v>3500</v>
      </c>
      <c r="H229" s="8">
        <f>SUM(sales_data[[#This Row],[rand discount]]/sales_data[[#This Row],[total order total]])</f>
        <v>0.33024164252757521</v>
      </c>
      <c r="I229">
        <v>25</v>
      </c>
      <c r="J229">
        <v>98.3</v>
      </c>
      <c r="K229">
        <v>14000</v>
      </c>
      <c r="L229" t="b">
        <v>1</v>
      </c>
      <c r="M229" s="13">
        <v>1.371</v>
      </c>
    </row>
    <row r="230" spans="1:13" x14ac:dyDescent="0.25">
      <c r="A230" s="2">
        <v>43804</v>
      </c>
      <c r="B230" s="1" t="s">
        <v>32</v>
      </c>
      <c r="C230" s="1" t="s">
        <v>33</v>
      </c>
      <c r="D230">
        <v>2</v>
      </c>
      <c r="E230">
        <v>10464.790000000001</v>
      </c>
      <c r="F230">
        <v>10387.5</v>
      </c>
      <c r="G230">
        <v>3462.5</v>
      </c>
      <c r="H230" s="8">
        <f>SUM(sales_data[[#This Row],[rand discount]]/sales_data[[#This Row],[total order total]])</f>
        <v>0.33087142694693344</v>
      </c>
      <c r="I230">
        <v>25</v>
      </c>
      <c r="J230">
        <v>77.290000000000006</v>
      </c>
      <c r="K230">
        <v>13850</v>
      </c>
      <c r="L230" t="b">
        <v>0</v>
      </c>
      <c r="M230" s="13">
        <v>1.0829</v>
      </c>
    </row>
    <row r="231" spans="1:13" x14ac:dyDescent="0.25">
      <c r="A231" s="2">
        <v>43589</v>
      </c>
      <c r="B231" s="1" t="s">
        <v>321</v>
      </c>
      <c r="C231" s="1" t="s">
        <v>322</v>
      </c>
      <c r="D231">
        <v>3</v>
      </c>
      <c r="E231">
        <v>13208.37</v>
      </c>
      <c r="F231">
        <v>13152.75</v>
      </c>
      <c r="G231">
        <v>692.25</v>
      </c>
      <c r="H231" s="8">
        <f>SUM(sales_data[[#This Row],[rand discount]]/sales_data[[#This Row],[total order total]])</f>
        <v>5.2409949145882491E-2</v>
      </c>
      <c r="I231">
        <v>5</v>
      </c>
      <c r="J231">
        <v>55.62</v>
      </c>
      <c r="K231">
        <v>13845</v>
      </c>
      <c r="L231" t="b">
        <v>0</v>
      </c>
      <c r="M231" s="13">
        <v>2.1916000000000002</v>
      </c>
    </row>
    <row r="232" spans="1:13" x14ac:dyDescent="0.25">
      <c r="A232" s="2">
        <v>43481</v>
      </c>
      <c r="B232" s="1" t="s">
        <v>613</v>
      </c>
      <c r="C232" s="1" t="s">
        <v>614</v>
      </c>
      <c r="D232">
        <v>2</v>
      </c>
      <c r="E232">
        <v>13925.47</v>
      </c>
      <c r="F232">
        <v>13820</v>
      </c>
      <c r="G232">
        <v>0</v>
      </c>
      <c r="H232" s="8">
        <f>SUM(sales_data[[#This Row],[rand discount]]/sales_data[[#This Row],[total order total]])</f>
        <v>0</v>
      </c>
      <c r="I232">
        <v>0</v>
      </c>
      <c r="J232">
        <v>105.47</v>
      </c>
      <c r="K232">
        <v>13820</v>
      </c>
      <c r="L232" t="b">
        <v>1</v>
      </c>
      <c r="M232" s="13">
        <v>1.9363999999999999</v>
      </c>
    </row>
    <row r="233" spans="1:13" x14ac:dyDescent="0.25">
      <c r="A233" s="2">
        <v>43668</v>
      </c>
      <c r="B233" s="1" t="s">
        <v>726</v>
      </c>
      <c r="C233" s="1" t="s">
        <v>727</v>
      </c>
      <c r="D233">
        <v>1</v>
      </c>
      <c r="E233">
        <v>13188.36</v>
      </c>
      <c r="F233">
        <v>13119.5</v>
      </c>
      <c r="G233">
        <v>690.5</v>
      </c>
      <c r="H233" s="8">
        <f>SUM(sales_data[[#This Row],[rand discount]]/sales_data[[#This Row],[total order total]])</f>
        <v>5.2356775216933715E-2</v>
      </c>
      <c r="I233">
        <v>5</v>
      </c>
      <c r="J233">
        <v>68.86</v>
      </c>
      <c r="K233">
        <v>13810</v>
      </c>
      <c r="L233" t="b">
        <v>0</v>
      </c>
      <c r="M233" s="13">
        <v>1.7476</v>
      </c>
    </row>
    <row r="234" spans="1:13" x14ac:dyDescent="0.25">
      <c r="A234" s="2">
        <v>43552</v>
      </c>
      <c r="B234" s="1" t="s">
        <v>99</v>
      </c>
      <c r="C234" s="1" t="s">
        <v>100</v>
      </c>
      <c r="D234">
        <v>1</v>
      </c>
      <c r="E234">
        <v>13822.01</v>
      </c>
      <c r="F234">
        <v>13755</v>
      </c>
      <c r="G234">
        <v>0</v>
      </c>
      <c r="H234" s="8">
        <f>SUM(sales_data[[#This Row],[rand discount]]/sales_data[[#This Row],[total order total]])</f>
        <v>0</v>
      </c>
      <c r="I234">
        <v>0</v>
      </c>
      <c r="J234">
        <v>67.010000000000005</v>
      </c>
      <c r="K234">
        <v>13755</v>
      </c>
      <c r="L234" t="b">
        <v>0</v>
      </c>
      <c r="M234" s="13">
        <v>1.0176000000000001</v>
      </c>
    </row>
    <row r="235" spans="1:13" x14ac:dyDescent="0.25">
      <c r="A235" s="2">
        <v>43789</v>
      </c>
      <c r="B235" s="1" t="s">
        <v>50</v>
      </c>
      <c r="C235" s="1" t="s">
        <v>51</v>
      </c>
      <c r="D235">
        <v>1</v>
      </c>
      <c r="E235">
        <v>13787.61</v>
      </c>
      <c r="F235">
        <v>13710</v>
      </c>
      <c r="G235">
        <v>0</v>
      </c>
      <c r="H235" s="8">
        <f>SUM(sales_data[[#This Row],[rand discount]]/sales_data[[#This Row],[total order total]])</f>
        <v>0</v>
      </c>
      <c r="I235">
        <v>0</v>
      </c>
      <c r="J235">
        <v>77.61</v>
      </c>
      <c r="K235">
        <v>13710</v>
      </c>
      <c r="L235" t="b">
        <v>0</v>
      </c>
      <c r="M235" s="13">
        <v>1.2790999999999999</v>
      </c>
    </row>
    <row r="236" spans="1:13" x14ac:dyDescent="0.25">
      <c r="A236" s="2">
        <v>43722</v>
      </c>
      <c r="B236" s="1" t="s">
        <v>22</v>
      </c>
      <c r="C236" s="1" t="s">
        <v>23</v>
      </c>
      <c r="D236">
        <v>1</v>
      </c>
      <c r="E236">
        <v>13089.84</v>
      </c>
      <c r="F236">
        <v>13015</v>
      </c>
      <c r="G236">
        <v>685</v>
      </c>
      <c r="H236" s="8">
        <f>SUM(sales_data[[#This Row],[rand discount]]/sales_data[[#This Row],[total order total]])</f>
        <v>5.2330662559664592E-2</v>
      </c>
      <c r="I236">
        <v>5</v>
      </c>
      <c r="J236">
        <v>74.84</v>
      </c>
      <c r="K236">
        <v>13700</v>
      </c>
      <c r="L236" t="b">
        <v>0</v>
      </c>
      <c r="M236" s="13">
        <v>0.67669999999999997</v>
      </c>
    </row>
    <row r="237" spans="1:13" x14ac:dyDescent="0.25">
      <c r="A237" s="2">
        <v>43818</v>
      </c>
      <c r="B237" s="1" t="s">
        <v>387</v>
      </c>
      <c r="C237" s="1" t="s">
        <v>388</v>
      </c>
      <c r="D237">
        <v>2</v>
      </c>
      <c r="E237">
        <v>13700.38</v>
      </c>
      <c r="F237">
        <v>13630</v>
      </c>
      <c r="G237">
        <v>0</v>
      </c>
      <c r="H237" s="8">
        <f>SUM(sales_data[[#This Row],[rand discount]]/sales_data[[#This Row],[total order total]])</f>
        <v>0</v>
      </c>
      <c r="I237">
        <v>0</v>
      </c>
      <c r="J237">
        <v>70.38</v>
      </c>
      <c r="K237">
        <v>13630</v>
      </c>
      <c r="L237" t="b">
        <v>0</v>
      </c>
      <c r="M237" s="13">
        <v>0.66869999999999996</v>
      </c>
    </row>
    <row r="238" spans="1:13" x14ac:dyDescent="0.25">
      <c r="A238" s="2">
        <v>43557</v>
      </c>
      <c r="B238" s="1" t="s">
        <v>87</v>
      </c>
      <c r="C238" s="1" t="s">
        <v>88</v>
      </c>
      <c r="D238">
        <v>2</v>
      </c>
      <c r="E238">
        <v>11620.28</v>
      </c>
      <c r="F238">
        <v>11555.75</v>
      </c>
      <c r="G238">
        <v>2039.25</v>
      </c>
      <c r="H238" s="8">
        <f>SUM(sales_data[[#This Row],[rand discount]]/sales_data[[#This Row],[total order total]])</f>
        <v>0.17549060779946782</v>
      </c>
      <c r="I238">
        <v>15</v>
      </c>
      <c r="J238">
        <v>64.53</v>
      </c>
      <c r="K238">
        <v>13595</v>
      </c>
      <c r="L238" t="b">
        <v>0</v>
      </c>
      <c r="M238" s="13">
        <v>0.62490000000000001</v>
      </c>
    </row>
    <row r="239" spans="1:13" x14ac:dyDescent="0.25">
      <c r="A239" s="2">
        <v>43556</v>
      </c>
      <c r="B239" s="1" t="s">
        <v>447</v>
      </c>
      <c r="C239" s="1" t="s">
        <v>448</v>
      </c>
      <c r="D239">
        <v>1</v>
      </c>
      <c r="E239">
        <v>12950.61</v>
      </c>
      <c r="F239">
        <v>12872.5</v>
      </c>
      <c r="G239">
        <v>677.5</v>
      </c>
      <c r="H239" s="8">
        <f>SUM(sales_data[[#This Row],[rand discount]]/sales_data[[#This Row],[total order total]])</f>
        <v>5.2314138098514276E-2</v>
      </c>
      <c r="I239">
        <v>5</v>
      </c>
      <c r="J239">
        <v>78.11</v>
      </c>
      <c r="K239">
        <v>13550</v>
      </c>
      <c r="L239" t="b">
        <v>1</v>
      </c>
      <c r="M239" s="13">
        <v>0.58289999999999997</v>
      </c>
    </row>
    <row r="240" spans="1:13" x14ac:dyDescent="0.25">
      <c r="A240" s="2">
        <v>43756</v>
      </c>
      <c r="B240" s="1" t="s">
        <v>285</v>
      </c>
      <c r="C240" s="1" t="s">
        <v>286</v>
      </c>
      <c r="D240">
        <v>3</v>
      </c>
      <c r="E240">
        <v>12256.19</v>
      </c>
      <c r="F240">
        <v>12177</v>
      </c>
      <c r="G240">
        <v>1353</v>
      </c>
      <c r="H240" s="8">
        <f>SUM(sales_data[[#This Row],[rand discount]]/sales_data[[#This Row],[total order total]])</f>
        <v>0.11039319723339798</v>
      </c>
      <c r="I240">
        <v>10</v>
      </c>
      <c r="J240">
        <v>79.19</v>
      </c>
      <c r="K240">
        <v>13530</v>
      </c>
      <c r="L240" t="b">
        <v>0</v>
      </c>
      <c r="M240" s="13">
        <v>1.1206</v>
      </c>
    </row>
    <row r="241" spans="1:13" x14ac:dyDescent="0.25">
      <c r="A241" s="2">
        <v>43522</v>
      </c>
      <c r="B241" s="1" t="s">
        <v>233</v>
      </c>
      <c r="C241" s="1" t="s">
        <v>234</v>
      </c>
      <c r="D241">
        <v>2</v>
      </c>
      <c r="E241">
        <v>13593.65</v>
      </c>
      <c r="F241">
        <v>13520</v>
      </c>
      <c r="G241">
        <v>0</v>
      </c>
      <c r="H241" s="8">
        <f>SUM(sales_data[[#This Row],[rand discount]]/sales_data[[#This Row],[total order total]])</f>
        <v>0</v>
      </c>
      <c r="I241">
        <v>0</v>
      </c>
      <c r="J241">
        <v>73.650000000000006</v>
      </c>
      <c r="K241">
        <v>13520</v>
      </c>
      <c r="L241" t="b">
        <v>0</v>
      </c>
      <c r="M241" s="13">
        <v>0.95379999999999998</v>
      </c>
    </row>
    <row r="242" spans="1:13" x14ac:dyDescent="0.25">
      <c r="A242" s="2">
        <v>43704</v>
      </c>
      <c r="B242" s="1" t="s">
        <v>83</v>
      </c>
      <c r="C242" s="1" t="s">
        <v>84</v>
      </c>
      <c r="D242">
        <v>3</v>
      </c>
      <c r="E242">
        <v>10186.450000000001</v>
      </c>
      <c r="F242">
        <v>10132.5</v>
      </c>
      <c r="G242">
        <v>3377.5</v>
      </c>
      <c r="H242" s="8">
        <f>SUM(sales_data[[#This Row],[rand discount]]/sales_data[[#This Row],[total order total]])</f>
        <v>0.33156791620240611</v>
      </c>
      <c r="I242">
        <v>25</v>
      </c>
      <c r="J242">
        <v>53.95</v>
      </c>
      <c r="K242">
        <v>13510</v>
      </c>
      <c r="L242" t="b">
        <v>0</v>
      </c>
      <c r="M242" s="13">
        <v>1.3080000000000001</v>
      </c>
    </row>
    <row r="243" spans="1:13" x14ac:dyDescent="0.25">
      <c r="A243" s="2">
        <v>43739</v>
      </c>
      <c r="B243" s="1" t="s">
        <v>327</v>
      </c>
      <c r="C243" s="1" t="s">
        <v>328</v>
      </c>
      <c r="D243">
        <v>1</v>
      </c>
      <c r="E243">
        <v>13515.63</v>
      </c>
      <c r="F243">
        <v>13430</v>
      </c>
      <c r="G243">
        <v>0</v>
      </c>
      <c r="H243" s="8">
        <f>SUM(sales_data[[#This Row],[rand discount]]/sales_data[[#This Row],[total order total]])</f>
        <v>0</v>
      </c>
      <c r="I243">
        <v>0</v>
      </c>
      <c r="J243">
        <v>85.63</v>
      </c>
      <c r="K243">
        <v>13430</v>
      </c>
      <c r="L243" t="b">
        <v>1</v>
      </c>
      <c r="M243" s="13">
        <v>0.4</v>
      </c>
    </row>
    <row r="244" spans="1:13" x14ac:dyDescent="0.25">
      <c r="A244" s="2">
        <v>43754</v>
      </c>
      <c r="B244" s="1" t="s">
        <v>595</v>
      </c>
      <c r="C244" s="1" t="s">
        <v>596</v>
      </c>
      <c r="D244">
        <v>3</v>
      </c>
      <c r="E244">
        <v>11447.08</v>
      </c>
      <c r="F244">
        <v>11347.5</v>
      </c>
      <c r="G244">
        <v>2002.5</v>
      </c>
      <c r="H244" s="8">
        <f>SUM(sales_data[[#This Row],[rand discount]]/sales_data[[#This Row],[total order total]])</f>
        <v>0.17493544205159745</v>
      </c>
      <c r="I244">
        <v>15</v>
      </c>
      <c r="J244">
        <v>99.58</v>
      </c>
      <c r="K244">
        <v>13350</v>
      </c>
      <c r="L244" t="b">
        <v>1</v>
      </c>
      <c r="M244" s="13">
        <v>0.74370000000000003</v>
      </c>
    </row>
    <row r="245" spans="1:13" x14ac:dyDescent="0.25">
      <c r="A245" s="2">
        <v>43545</v>
      </c>
      <c r="B245" s="1" t="s">
        <v>28</v>
      </c>
      <c r="C245" s="1" t="s">
        <v>29</v>
      </c>
      <c r="D245">
        <v>1</v>
      </c>
      <c r="E245">
        <v>11384.26</v>
      </c>
      <c r="F245">
        <v>11322</v>
      </c>
      <c r="G245">
        <v>1998</v>
      </c>
      <c r="H245" s="8">
        <f>SUM(sales_data[[#This Row],[rand discount]]/sales_data[[#This Row],[total order total]])</f>
        <v>0.17550547861696764</v>
      </c>
      <c r="I245">
        <v>15</v>
      </c>
      <c r="J245">
        <v>62.26</v>
      </c>
      <c r="K245">
        <v>13320</v>
      </c>
      <c r="L245" t="b">
        <v>1</v>
      </c>
      <c r="M245" s="13">
        <v>0.60929999999999995</v>
      </c>
    </row>
    <row r="246" spans="1:13" x14ac:dyDescent="0.25">
      <c r="A246" s="2">
        <v>43642</v>
      </c>
      <c r="B246" s="1" t="s">
        <v>235</v>
      </c>
      <c r="C246" s="1" t="s">
        <v>236</v>
      </c>
      <c r="D246">
        <v>1</v>
      </c>
      <c r="E246">
        <v>13379.27</v>
      </c>
      <c r="F246">
        <v>13315</v>
      </c>
      <c r="G246">
        <v>0</v>
      </c>
      <c r="H246" s="8">
        <f>SUM(sales_data[[#This Row],[rand discount]]/sales_data[[#This Row],[total order total]])</f>
        <v>0</v>
      </c>
      <c r="I246">
        <v>0</v>
      </c>
      <c r="J246">
        <v>64.27</v>
      </c>
      <c r="K246">
        <v>13315</v>
      </c>
      <c r="L246" t="b">
        <v>0</v>
      </c>
      <c r="M246" s="13">
        <v>0.64129999999999998</v>
      </c>
    </row>
    <row r="247" spans="1:13" x14ac:dyDescent="0.25">
      <c r="A247" s="2">
        <v>43808</v>
      </c>
      <c r="B247" s="1" t="s">
        <v>853</v>
      </c>
      <c r="C247" s="1" t="s">
        <v>854</v>
      </c>
      <c r="D247">
        <v>2</v>
      </c>
      <c r="E247">
        <v>13354.95</v>
      </c>
      <c r="F247">
        <v>13275</v>
      </c>
      <c r="G247">
        <v>0</v>
      </c>
      <c r="H247" s="8">
        <f>SUM(sales_data[[#This Row],[rand discount]]/sales_data[[#This Row],[total order total]])</f>
        <v>0</v>
      </c>
      <c r="I247">
        <v>0</v>
      </c>
      <c r="J247">
        <v>79.95</v>
      </c>
      <c r="K247">
        <v>13275</v>
      </c>
      <c r="L247" t="b">
        <v>1</v>
      </c>
      <c r="M247" s="13">
        <v>0.96120000000000005</v>
      </c>
    </row>
    <row r="248" spans="1:13" x14ac:dyDescent="0.25">
      <c r="A248" s="2">
        <v>43472</v>
      </c>
      <c r="B248" s="1" t="s">
        <v>673</v>
      </c>
      <c r="C248" s="1" t="s">
        <v>674</v>
      </c>
      <c r="D248">
        <v>1</v>
      </c>
      <c r="E248">
        <v>11999.17</v>
      </c>
      <c r="F248">
        <v>11943</v>
      </c>
      <c r="G248">
        <v>1327</v>
      </c>
      <c r="H248" s="8">
        <f>SUM(sales_data[[#This Row],[rand discount]]/sales_data[[#This Row],[total order total]])</f>
        <v>0.11059098254295922</v>
      </c>
      <c r="I248">
        <v>10</v>
      </c>
      <c r="J248">
        <v>56.17</v>
      </c>
      <c r="K248">
        <v>13270</v>
      </c>
      <c r="L248" t="b">
        <v>0</v>
      </c>
      <c r="M248" s="13">
        <v>0.62170000000000003</v>
      </c>
    </row>
    <row r="249" spans="1:13" x14ac:dyDescent="0.25">
      <c r="A249" s="2">
        <v>43709</v>
      </c>
      <c r="B249" s="1" t="s">
        <v>615</v>
      </c>
      <c r="C249" s="1" t="s">
        <v>616</v>
      </c>
      <c r="D249">
        <v>2</v>
      </c>
      <c r="E249">
        <v>11289.59</v>
      </c>
      <c r="F249">
        <v>11228.5</v>
      </c>
      <c r="G249">
        <v>1981.5</v>
      </c>
      <c r="H249" s="8">
        <f>SUM(sales_data[[#This Row],[rand discount]]/sales_data[[#This Row],[total order total]])</f>
        <v>0.17551567417417285</v>
      </c>
      <c r="I249">
        <v>15</v>
      </c>
      <c r="J249">
        <v>61.09</v>
      </c>
      <c r="K249">
        <v>13210</v>
      </c>
      <c r="L249" t="b">
        <v>0</v>
      </c>
      <c r="M249" s="13">
        <v>0.86839999999999995</v>
      </c>
    </row>
    <row r="250" spans="1:13" x14ac:dyDescent="0.25">
      <c r="A250" s="2">
        <v>43582</v>
      </c>
      <c r="B250" s="1" t="s">
        <v>933</v>
      </c>
      <c r="C250" s="1" t="s">
        <v>934</v>
      </c>
      <c r="D250">
        <v>1</v>
      </c>
      <c r="E250">
        <v>9756.9599999999991</v>
      </c>
      <c r="F250">
        <v>9690</v>
      </c>
      <c r="G250">
        <v>3230</v>
      </c>
      <c r="H250" s="8">
        <f>SUM(sales_data[[#This Row],[rand discount]]/sales_data[[#This Row],[total order total]])</f>
        <v>0.33104573555697681</v>
      </c>
      <c r="I250">
        <v>25</v>
      </c>
      <c r="J250">
        <v>66.959999999999994</v>
      </c>
      <c r="K250">
        <v>12920</v>
      </c>
      <c r="L250" t="b">
        <v>0</v>
      </c>
      <c r="M250" s="13">
        <v>1.0133000000000001</v>
      </c>
    </row>
    <row r="251" spans="1:13" x14ac:dyDescent="0.25">
      <c r="A251" s="2">
        <v>43615</v>
      </c>
      <c r="B251" s="1" t="s">
        <v>886</v>
      </c>
      <c r="C251" s="1" t="s">
        <v>887</v>
      </c>
      <c r="D251">
        <v>3</v>
      </c>
      <c r="E251">
        <v>11613.86</v>
      </c>
      <c r="F251">
        <v>11529</v>
      </c>
      <c r="G251">
        <v>1281</v>
      </c>
      <c r="H251" s="8">
        <f>SUM(sales_data[[#This Row],[rand discount]]/sales_data[[#This Row],[total order total]])</f>
        <v>0.11029924590101826</v>
      </c>
      <c r="I251">
        <v>10</v>
      </c>
      <c r="J251">
        <v>84.86</v>
      </c>
      <c r="K251">
        <v>12810</v>
      </c>
      <c r="L251" t="b">
        <v>1</v>
      </c>
      <c r="M251" s="13">
        <v>76.341899999999995</v>
      </c>
    </row>
    <row r="252" spans="1:13" x14ac:dyDescent="0.25">
      <c r="A252" s="2">
        <v>43676</v>
      </c>
      <c r="B252" s="1" t="s">
        <v>851</v>
      </c>
      <c r="C252" s="1" t="s">
        <v>852</v>
      </c>
      <c r="D252">
        <v>1</v>
      </c>
      <c r="E252">
        <v>9682.93</v>
      </c>
      <c r="F252">
        <v>9603.75</v>
      </c>
      <c r="G252">
        <v>3201.25</v>
      </c>
      <c r="H252" s="8">
        <f>SUM(sales_data[[#This Row],[rand discount]]/sales_data[[#This Row],[total order total]])</f>
        <v>0.33060757436024013</v>
      </c>
      <c r="I252">
        <v>25</v>
      </c>
      <c r="J252">
        <v>79.180000000000007</v>
      </c>
      <c r="K252">
        <v>12805</v>
      </c>
      <c r="L252" t="b">
        <v>1</v>
      </c>
      <c r="M252" s="13">
        <v>1.1692</v>
      </c>
    </row>
    <row r="253" spans="1:13" x14ac:dyDescent="0.25">
      <c r="A253" s="2">
        <v>43805</v>
      </c>
      <c r="B253" s="1" t="s">
        <v>201</v>
      </c>
      <c r="C253" s="1" t="s">
        <v>202</v>
      </c>
      <c r="D253">
        <v>2</v>
      </c>
      <c r="E253">
        <v>10946.54</v>
      </c>
      <c r="F253">
        <v>10871.5</v>
      </c>
      <c r="G253">
        <v>1918.5</v>
      </c>
      <c r="H253" s="8">
        <f>SUM(sales_data[[#This Row],[rand discount]]/sales_data[[#This Row],[total order total]])</f>
        <v>0.1752608586822868</v>
      </c>
      <c r="I253">
        <v>15</v>
      </c>
      <c r="J253">
        <v>75.040000000000006</v>
      </c>
      <c r="K253">
        <v>12790</v>
      </c>
      <c r="L253" t="b">
        <v>0</v>
      </c>
      <c r="M253" s="13">
        <v>0.95320000000000005</v>
      </c>
    </row>
    <row r="254" spans="1:13" x14ac:dyDescent="0.25">
      <c r="A254" s="2">
        <v>43642</v>
      </c>
      <c r="B254" s="1" t="s">
        <v>85</v>
      </c>
      <c r="C254" s="1" t="s">
        <v>86</v>
      </c>
      <c r="D254">
        <v>2</v>
      </c>
      <c r="E254">
        <v>12822.12</v>
      </c>
      <c r="F254">
        <v>12770</v>
      </c>
      <c r="G254">
        <v>0</v>
      </c>
      <c r="H254" s="8">
        <f>SUM(sales_data[[#This Row],[rand discount]]/sales_data[[#This Row],[total order total]])</f>
        <v>0</v>
      </c>
      <c r="I254">
        <v>0</v>
      </c>
      <c r="J254">
        <v>52.12</v>
      </c>
      <c r="K254">
        <v>12770</v>
      </c>
      <c r="L254" t="b">
        <v>0</v>
      </c>
      <c r="M254" s="13">
        <v>1.1272</v>
      </c>
    </row>
    <row r="255" spans="1:13" x14ac:dyDescent="0.25">
      <c r="A255" s="2">
        <v>43562</v>
      </c>
      <c r="B255" s="1" t="s">
        <v>633</v>
      </c>
      <c r="C255" s="1" t="s">
        <v>634</v>
      </c>
      <c r="D255">
        <v>1</v>
      </c>
      <c r="E255">
        <v>11551.05</v>
      </c>
      <c r="F255">
        <v>11488.5</v>
      </c>
      <c r="G255">
        <v>1276.5</v>
      </c>
      <c r="H255" s="8">
        <f>SUM(sales_data[[#This Row],[rand discount]]/sales_data[[#This Row],[total order total]])</f>
        <v>0.11050943420727986</v>
      </c>
      <c r="I255">
        <v>10</v>
      </c>
      <c r="J255">
        <v>62.55</v>
      </c>
      <c r="K255">
        <v>12765</v>
      </c>
      <c r="L255" t="b">
        <v>1</v>
      </c>
      <c r="M255" s="13">
        <v>0.39660000000000001</v>
      </c>
    </row>
    <row r="256" spans="1:13" x14ac:dyDescent="0.25">
      <c r="A256" s="2">
        <v>43748</v>
      </c>
      <c r="B256" s="1" t="s">
        <v>825</v>
      </c>
      <c r="C256" s="1" t="s">
        <v>826</v>
      </c>
      <c r="D256">
        <v>1</v>
      </c>
      <c r="E256">
        <v>12224.61</v>
      </c>
      <c r="F256">
        <v>12117.25</v>
      </c>
      <c r="G256">
        <v>637.75</v>
      </c>
      <c r="H256" s="8">
        <f>SUM(sales_data[[#This Row],[rand discount]]/sales_data[[#This Row],[total order total]])</f>
        <v>5.2169353459946777E-2</v>
      </c>
      <c r="I256">
        <v>5</v>
      </c>
      <c r="J256">
        <v>107.36</v>
      </c>
      <c r="K256">
        <v>12755</v>
      </c>
      <c r="L256" t="b">
        <v>1</v>
      </c>
      <c r="M256" s="13">
        <v>1.3928</v>
      </c>
    </row>
    <row r="257" spans="1:13" x14ac:dyDescent="0.25">
      <c r="A257" s="2">
        <v>43679</v>
      </c>
      <c r="B257" s="1" t="s">
        <v>377</v>
      </c>
      <c r="C257" s="1" t="s">
        <v>378</v>
      </c>
      <c r="D257">
        <v>3</v>
      </c>
      <c r="E257">
        <v>12140.7</v>
      </c>
      <c r="F257">
        <v>12065</v>
      </c>
      <c r="G257">
        <v>635</v>
      </c>
      <c r="H257" s="8">
        <f>SUM(sales_data[[#This Row],[rand discount]]/sales_data[[#This Row],[total order total]])</f>
        <v>5.2303409193868555E-2</v>
      </c>
      <c r="I257">
        <v>5</v>
      </c>
      <c r="J257">
        <v>75.7</v>
      </c>
      <c r="K257">
        <v>12700</v>
      </c>
      <c r="L257" t="b">
        <v>1</v>
      </c>
      <c r="M257" s="13">
        <v>0.84819999999999995</v>
      </c>
    </row>
    <row r="258" spans="1:13" x14ac:dyDescent="0.25">
      <c r="A258" s="2">
        <v>43469</v>
      </c>
      <c r="B258" s="1" t="s">
        <v>421</v>
      </c>
      <c r="C258" s="1" t="s">
        <v>422</v>
      </c>
      <c r="D258">
        <v>2</v>
      </c>
      <c r="E258">
        <v>9582.2900000000009</v>
      </c>
      <c r="F258">
        <v>9517.5</v>
      </c>
      <c r="G258">
        <v>3172.5</v>
      </c>
      <c r="H258" s="8">
        <f>SUM(sales_data[[#This Row],[rand discount]]/sales_data[[#This Row],[total order total]])</f>
        <v>0.33107952274456309</v>
      </c>
      <c r="I258">
        <v>25</v>
      </c>
      <c r="J258">
        <v>64.790000000000006</v>
      </c>
      <c r="K258">
        <v>12690</v>
      </c>
      <c r="L258" t="b">
        <v>0</v>
      </c>
      <c r="M258" s="13">
        <v>1.6211</v>
      </c>
    </row>
    <row r="259" spans="1:13" x14ac:dyDescent="0.25">
      <c r="A259" s="2">
        <v>43525</v>
      </c>
      <c r="B259" s="1" t="s">
        <v>267</v>
      </c>
      <c r="C259" s="1" t="s">
        <v>268</v>
      </c>
      <c r="D259">
        <v>1</v>
      </c>
      <c r="E259">
        <v>11329.02</v>
      </c>
      <c r="F259">
        <v>11259</v>
      </c>
      <c r="G259">
        <v>1251</v>
      </c>
      <c r="H259" s="8">
        <f>SUM(sales_data[[#This Row],[rand discount]]/sales_data[[#This Row],[total order total]])</f>
        <v>0.11042437916077472</v>
      </c>
      <c r="I259">
        <v>10</v>
      </c>
      <c r="J259">
        <v>70.02</v>
      </c>
      <c r="K259">
        <v>12510</v>
      </c>
      <c r="L259" t="b">
        <v>0</v>
      </c>
      <c r="M259" s="13">
        <v>1.7249000000000001</v>
      </c>
    </row>
    <row r="260" spans="1:13" x14ac:dyDescent="0.25">
      <c r="A260" s="2">
        <v>43738</v>
      </c>
      <c r="B260" s="1" t="s">
        <v>747</v>
      </c>
      <c r="C260" s="1" t="s">
        <v>748</v>
      </c>
      <c r="D260">
        <v>1</v>
      </c>
      <c r="E260">
        <v>10598.96</v>
      </c>
      <c r="F260">
        <v>10540</v>
      </c>
      <c r="G260">
        <v>1860</v>
      </c>
      <c r="H260" s="8">
        <f>SUM(sales_data[[#This Row],[rand discount]]/sales_data[[#This Row],[total order total]])</f>
        <v>0.17548891589363486</v>
      </c>
      <c r="I260">
        <v>15</v>
      </c>
      <c r="J260">
        <v>58.96</v>
      </c>
      <c r="K260">
        <v>12400</v>
      </c>
      <c r="L260" t="b">
        <v>0</v>
      </c>
      <c r="M260" s="13">
        <v>0.55740000000000001</v>
      </c>
    </row>
    <row r="261" spans="1:13" x14ac:dyDescent="0.25">
      <c r="A261" s="2">
        <v>43786</v>
      </c>
      <c r="B261" s="1" t="s">
        <v>929</v>
      </c>
      <c r="C261" s="1" t="s">
        <v>930</v>
      </c>
      <c r="D261">
        <v>3</v>
      </c>
      <c r="E261">
        <v>9408.67</v>
      </c>
      <c r="F261">
        <v>9296.25</v>
      </c>
      <c r="G261">
        <v>3098.75</v>
      </c>
      <c r="H261" s="8">
        <f>SUM(sales_data[[#This Row],[rand discount]]/sales_data[[#This Row],[total order total]])</f>
        <v>0.32935048205538081</v>
      </c>
      <c r="I261">
        <v>25</v>
      </c>
      <c r="J261">
        <v>112.42</v>
      </c>
      <c r="K261">
        <v>12395</v>
      </c>
      <c r="L261" t="b">
        <v>1</v>
      </c>
      <c r="M261" s="13">
        <v>2.0038</v>
      </c>
    </row>
    <row r="262" spans="1:13" x14ac:dyDescent="0.25">
      <c r="A262" s="2">
        <v>43523</v>
      </c>
      <c r="B262" s="1" t="s">
        <v>909</v>
      </c>
      <c r="C262" s="1" t="s">
        <v>910</v>
      </c>
      <c r="D262">
        <v>2</v>
      </c>
      <c r="E262">
        <v>9355.59</v>
      </c>
      <c r="F262">
        <v>9262.5</v>
      </c>
      <c r="G262">
        <v>3087.5</v>
      </c>
      <c r="H262" s="8">
        <f>SUM(sales_data[[#This Row],[rand discount]]/sales_data[[#This Row],[total order total]])</f>
        <v>0.330016599701355</v>
      </c>
      <c r="I262">
        <v>25</v>
      </c>
      <c r="J262">
        <v>93.09</v>
      </c>
      <c r="K262">
        <v>12350</v>
      </c>
      <c r="L262" t="b">
        <v>1</v>
      </c>
      <c r="M262" s="13">
        <v>0.80810000000000004</v>
      </c>
    </row>
    <row r="263" spans="1:13" x14ac:dyDescent="0.25">
      <c r="A263" s="2">
        <v>43788</v>
      </c>
      <c r="B263" s="1" t="s">
        <v>919</v>
      </c>
      <c r="C263" s="1" t="s">
        <v>920</v>
      </c>
      <c r="D263">
        <v>1</v>
      </c>
      <c r="E263">
        <v>11077.59</v>
      </c>
      <c r="F263">
        <v>11016</v>
      </c>
      <c r="G263">
        <v>1224</v>
      </c>
      <c r="H263" s="8">
        <f>SUM(sales_data[[#This Row],[rand discount]]/sales_data[[#This Row],[total order total]])</f>
        <v>0.11049334737970984</v>
      </c>
      <c r="I263">
        <v>10</v>
      </c>
      <c r="J263">
        <v>61.59</v>
      </c>
      <c r="K263">
        <v>12240</v>
      </c>
      <c r="L263" t="b">
        <v>0</v>
      </c>
      <c r="M263" s="13">
        <v>0.97109999999999996</v>
      </c>
    </row>
    <row r="264" spans="1:13" x14ac:dyDescent="0.25">
      <c r="A264" s="2">
        <v>43671</v>
      </c>
      <c r="B264" s="1" t="s">
        <v>70</v>
      </c>
      <c r="C264" s="1" t="s">
        <v>71</v>
      </c>
      <c r="D264">
        <v>2</v>
      </c>
      <c r="E264">
        <v>12287.24</v>
      </c>
      <c r="F264">
        <v>12210</v>
      </c>
      <c r="G264">
        <v>0</v>
      </c>
      <c r="H264" s="8">
        <f>SUM(sales_data[[#This Row],[rand discount]]/sales_data[[#This Row],[total order total]])</f>
        <v>0</v>
      </c>
      <c r="I264">
        <v>0</v>
      </c>
      <c r="J264">
        <v>77.239999999999995</v>
      </c>
      <c r="K264">
        <v>12210</v>
      </c>
      <c r="L264" t="b">
        <v>1</v>
      </c>
      <c r="M264" s="13">
        <v>0.98550000000000004</v>
      </c>
    </row>
    <row r="265" spans="1:13" x14ac:dyDescent="0.25">
      <c r="A265" s="2">
        <v>43638</v>
      </c>
      <c r="B265" s="1" t="s">
        <v>8</v>
      </c>
      <c r="C265" s="1" t="s">
        <v>9</v>
      </c>
      <c r="D265">
        <v>1</v>
      </c>
      <c r="E265">
        <v>11059.89</v>
      </c>
      <c r="F265">
        <v>10980</v>
      </c>
      <c r="G265">
        <v>1220</v>
      </c>
      <c r="H265" s="8">
        <f>SUM(sales_data[[#This Row],[rand discount]]/sales_data[[#This Row],[total order total]])</f>
        <v>0.11030851120580766</v>
      </c>
      <c r="I265">
        <v>10</v>
      </c>
      <c r="J265">
        <v>79.89</v>
      </c>
      <c r="K265">
        <v>12200</v>
      </c>
      <c r="L265" t="b">
        <v>1</v>
      </c>
      <c r="M265" s="13">
        <v>1.28</v>
      </c>
    </row>
    <row r="266" spans="1:13" x14ac:dyDescent="0.25">
      <c r="A266" s="2">
        <v>43655</v>
      </c>
      <c r="B266" s="1" t="s">
        <v>601</v>
      </c>
      <c r="C266" s="1" t="s">
        <v>602</v>
      </c>
      <c r="D266">
        <v>1</v>
      </c>
      <c r="E266">
        <v>12247.47</v>
      </c>
      <c r="F266">
        <v>12180</v>
      </c>
      <c r="G266">
        <v>0</v>
      </c>
      <c r="H266" s="8">
        <f>SUM(sales_data[[#This Row],[rand discount]]/sales_data[[#This Row],[total order total]])</f>
        <v>0</v>
      </c>
      <c r="I266">
        <v>0</v>
      </c>
      <c r="J266">
        <v>67.47</v>
      </c>
      <c r="K266">
        <v>12180</v>
      </c>
      <c r="L266" t="b">
        <v>1</v>
      </c>
      <c r="M266" s="13">
        <v>1.6672</v>
      </c>
    </row>
    <row r="267" spans="1:13" x14ac:dyDescent="0.25">
      <c r="A267" s="2">
        <v>43590</v>
      </c>
      <c r="B267" s="1" t="s">
        <v>255</v>
      </c>
      <c r="C267" s="1" t="s">
        <v>256</v>
      </c>
      <c r="D267">
        <v>2</v>
      </c>
      <c r="E267">
        <v>9183.73</v>
      </c>
      <c r="F267">
        <v>9101.25</v>
      </c>
      <c r="G267">
        <v>3033.75</v>
      </c>
      <c r="H267" s="8">
        <f>SUM(sales_data[[#This Row],[rand discount]]/sales_data[[#This Row],[total order total]])</f>
        <v>0.33033963324270205</v>
      </c>
      <c r="I267">
        <v>25</v>
      </c>
      <c r="J267">
        <v>82.48</v>
      </c>
      <c r="K267">
        <v>12135</v>
      </c>
      <c r="L267" t="b">
        <v>1</v>
      </c>
      <c r="M267" s="13">
        <v>1.5668</v>
      </c>
    </row>
    <row r="268" spans="1:13" x14ac:dyDescent="0.25">
      <c r="A268" s="2">
        <v>43584</v>
      </c>
      <c r="B268" s="1" t="s">
        <v>169</v>
      </c>
      <c r="C268" s="1" t="s">
        <v>170</v>
      </c>
      <c r="D268">
        <v>1</v>
      </c>
      <c r="E268">
        <v>9134.23</v>
      </c>
      <c r="F268">
        <v>9067.5</v>
      </c>
      <c r="G268">
        <v>3022.5</v>
      </c>
      <c r="H268" s="8">
        <f>SUM(sales_data[[#This Row],[rand discount]]/sales_data[[#This Row],[total order total]])</f>
        <v>0.33089817094599111</v>
      </c>
      <c r="I268">
        <v>25</v>
      </c>
      <c r="J268">
        <v>66.73</v>
      </c>
      <c r="K268">
        <v>12090</v>
      </c>
      <c r="L268" t="b">
        <v>0</v>
      </c>
      <c r="M268" s="13">
        <v>0.93079999999999996</v>
      </c>
    </row>
    <row r="269" spans="1:13" x14ac:dyDescent="0.25">
      <c r="A269" s="2">
        <v>43807</v>
      </c>
      <c r="B269" s="1" t="s">
        <v>593</v>
      </c>
      <c r="C269" s="1" t="s">
        <v>594</v>
      </c>
      <c r="D269">
        <v>2</v>
      </c>
      <c r="E269">
        <v>10328.540000000001</v>
      </c>
      <c r="F269">
        <v>10276.5</v>
      </c>
      <c r="G269">
        <v>1813.5</v>
      </c>
      <c r="H269" s="8">
        <f>SUM(sales_data[[#This Row],[rand discount]]/sales_data[[#This Row],[total order total]])</f>
        <v>0.1755814471358004</v>
      </c>
      <c r="I269">
        <v>15</v>
      </c>
      <c r="J269">
        <v>52.04</v>
      </c>
      <c r="K269">
        <v>12090</v>
      </c>
      <c r="L269" t="b">
        <v>0</v>
      </c>
      <c r="M269" s="13">
        <v>0.25019999999999998</v>
      </c>
    </row>
    <row r="270" spans="1:13" x14ac:dyDescent="0.25">
      <c r="A270" s="2">
        <v>43701</v>
      </c>
      <c r="B270" s="1" t="s">
        <v>749</v>
      </c>
      <c r="C270" s="1" t="s">
        <v>750</v>
      </c>
      <c r="D270">
        <v>1</v>
      </c>
      <c r="E270">
        <v>10189.34</v>
      </c>
      <c r="F270">
        <v>10110.75</v>
      </c>
      <c r="G270">
        <v>1784.25</v>
      </c>
      <c r="H270" s="8">
        <f>SUM(sales_data[[#This Row],[rand discount]]/sales_data[[#This Row],[total order total]])</f>
        <v>0.17510947715946273</v>
      </c>
      <c r="I270">
        <v>15</v>
      </c>
      <c r="J270">
        <v>78.59</v>
      </c>
      <c r="K270">
        <v>11895</v>
      </c>
      <c r="L270" t="b">
        <v>1</v>
      </c>
      <c r="M270" s="13">
        <v>1.0823</v>
      </c>
    </row>
    <row r="271" spans="1:13" x14ac:dyDescent="0.25">
      <c r="A271" s="2">
        <v>43483</v>
      </c>
      <c r="B271" s="1" t="s">
        <v>113</v>
      </c>
      <c r="C271" s="1" t="s">
        <v>114</v>
      </c>
      <c r="D271">
        <v>2</v>
      </c>
      <c r="E271">
        <v>9999.06</v>
      </c>
      <c r="F271">
        <v>9902.5</v>
      </c>
      <c r="G271">
        <v>1747.5</v>
      </c>
      <c r="H271" s="8">
        <f>SUM(sales_data[[#This Row],[rand discount]]/sales_data[[#This Row],[total order total]])</f>
        <v>0.17476642804423617</v>
      </c>
      <c r="I271">
        <v>15</v>
      </c>
      <c r="J271">
        <v>96.56</v>
      </c>
      <c r="K271">
        <v>11650</v>
      </c>
      <c r="L271" t="b">
        <v>1</v>
      </c>
      <c r="M271" s="13">
        <v>1.1835</v>
      </c>
    </row>
    <row r="272" spans="1:13" x14ac:dyDescent="0.25">
      <c r="A272" s="2">
        <v>43748</v>
      </c>
      <c r="B272" s="1" t="s">
        <v>325</v>
      </c>
      <c r="C272" s="1" t="s">
        <v>326</v>
      </c>
      <c r="D272">
        <v>1</v>
      </c>
      <c r="E272">
        <v>11661.79</v>
      </c>
      <c r="F272">
        <v>11570</v>
      </c>
      <c r="G272">
        <v>0</v>
      </c>
      <c r="H272" s="8">
        <f>SUM(sales_data[[#This Row],[rand discount]]/sales_data[[#This Row],[total order total]])</f>
        <v>0</v>
      </c>
      <c r="I272">
        <v>0</v>
      </c>
      <c r="J272">
        <v>91.79</v>
      </c>
      <c r="K272">
        <v>11570</v>
      </c>
      <c r="L272" t="b">
        <v>0</v>
      </c>
      <c r="M272" s="13">
        <v>2.7391000000000001</v>
      </c>
    </row>
    <row r="273" spans="1:13" x14ac:dyDescent="0.25">
      <c r="A273" s="2">
        <v>43720</v>
      </c>
      <c r="B273" s="1" t="s">
        <v>349</v>
      </c>
      <c r="C273" s="1" t="s">
        <v>350</v>
      </c>
      <c r="D273">
        <v>3</v>
      </c>
      <c r="E273">
        <v>11621.84</v>
      </c>
      <c r="F273">
        <v>11520</v>
      </c>
      <c r="G273">
        <v>0</v>
      </c>
      <c r="H273" s="8">
        <f>SUM(sales_data[[#This Row],[rand discount]]/sales_data[[#This Row],[total order total]])</f>
        <v>0</v>
      </c>
      <c r="I273">
        <v>0</v>
      </c>
      <c r="J273">
        <v>101.84</v>
      </c>
      <c r="K273">
        <v>11520</v>
      </c>
      <c r="L273" t="b">
        <v>1</v>
      </c>
      <c r="M273" s="13">
        <v>0.51359999999999995</v>
      </c>
    </row>
    <row r="274" spans="1:13" x14ac:dyDescent="0.25">
      <c r="A274" s="2">
        <v>43602</v>
      </c>
      <c r="B274" s="1" t="s">
        <v>959</v>
      </c>
      <c r="C274" s="1" t="s">
        <v>960</v>
      </c>
      <c r="D274">
        <v>1</v>
      </c>
      <c r="E274">
        <v>10376.209999999999</v>
      </c>
      <c r="F274">
        <v>10327.5</v>
      </c>
      <c r="G274">
        <v>1147.5</v>
      </c>
      <c r="H274" s="8">
        <f>SUM(sales_data[[#This Row],[rand discount]]/sales_data[[#This Row],[total order total]])</f>
        <v>0.11058951197017024</v>
      </c>
      <c r="I274">
        <v>10</v>
      </c>
      <c r="J274">
        <v>48.71</v>
      </c>
      <c r="K274">
        <v>11475</v>
      </c>
      <c r="L274" t="b">
        <v>0</v>
      </c>
      <c r="M274" s="13">
        <v>0.84930000000000005</v>
      </c>
    </row>
    <row r="275" spans="1:13" x14ac:dyDescent="0.25">
      <c r="A275" s="2">
        <v>43771</v>
      </c>
      <c r="B275" s="1" t="s">
        <v>521</v>
      </c>
      <c r="C275" s="1" t="s">
        <v>522</v>
      </c>
      <c r="D275">
        <v>1</v>
      </c>
      <c r="E275">
        <v>10370.200000000001</v>
      </c>
      <c r="F275">
        <v>10260</v>
      </c>
      <c r="G275">
        <v>1140</v>
      </c>
      <c r="H275" s="8">
        <f>SUM(sales_data[[#This Row],[rand discount]]/sales_data[[#This Row],[total order total]])</f>
        <v>0.10993037742762916</v>
      </c>
      <c r="I275">
        <v>10</v>
      </c>
      <c r="J275">
        <v>110.2</v>
      </c>
      <c r="K275">
        <v>11400</v>
      </c>
      <c r="L275" t="b">
        <v>1</v>
      </c>
      <c r="M275" s="13">
        <v>1.5416000000000001</v>
      </c>
    </row>
    <row r="276" spans="1:13" x14ac:dyDescent="0.25">
      <c r="A276" s="2">
        <v>43502</v>
      </c>
      <c r="B276" s="1" t="s">
        <v>759</v>
      </c>
      <c r="C276" s="1" t="s">
        <v>760</v>
      </c>
      <c r="D276">
        <v>1</v>
      </c>
      <c r="E276">
        <v>8584.11</v>
      </c>
      <c r="F276">
        <v>8512.5</v>
      </c>
      <c r="G276">
        <v>2837.5</v>
      </c>
      <c r="H276" s="8">
        <f>SUM(sales_data[[#This Row],[rand discount]]/sales_data[[#This Row],[total order total]])</f>
        <v>0.33055261407414394</v>
      </c>
      <c r="I276">
        <v>25</v>
      </c>
      <c r="J276">
        <v>71.61</v>
      </c>
      <c r="K276">
        <v>11350</v>
      </c>
      <c r="L276" t="b">
        <v>0</v>
      </c>
      <c r="M276" s="13">
        <v>0.70369999999999999</v>
      </c>
    </row>
    <row r="277" spans="1:13" x14ac:dyDescent="0.25">
      <c r="A277" s="2">
        <v>43660</v>
      </c>
      <c r="B277" s="1" t="s">
        <v>411</v>
      </c>
      <c r="C277" s="1" t="s">
        <v>412</v>
      </c>
      <c r="D277">
        <v>3</v>
      </c>
      <c r="E277">
        <v>10153.89</v>
      </c>
      <c r="F277">
        <v>10107</v>
      </c>
      <c r="G277">
        <v>1123</v>
      </c>
      <c r="H277" s="8">
        <f>SUM(sales_data[[#This Row],[rand discount]]/sales_data[[#This Row],[total order total]])</f>
        <v>0.11059800726618076</v>
      </c>
      <c r="I277">
        <v>10</v>
      </c>
      <c r="J277">
        <v>46.89</v>
      </c>
      <c r="K277">
        <v>11230</v>
      </c>
      <c r="L277" t="b">
        <v>0</v>
      </c>
      <c r="M277" s="13">
        <v>0.4345</v>
      </c>
    </row>
    <row r="278" spans="1:13" x14ac:dyDescent="0.25">
      <c r="A278" s="2">
        <v>43627</v>
      </c>
      <c r="B278" s="1" t="s">
        <v>277</v>
      </c>
      <c r="C278" s="1" t="s">
        <v>278</v>
      </c>
      <c r="D278">
        <v>1</v>
      </c>
      <c r="E278">
        <v>11298.33</v>
      </c>
      <c r="F278">
        <v>11220</v>
      </c>
      <c r="G278">
        <v>0</v>
      </c>
      <c r="H278" s="8">
        <f>SUM(sales_data[[#This Row],[rand discount]]/sales_data[[#This Row],[total order total]])</f>
        <v>0</v>
      </c>
      <c r="I278">
        <v>0</v>
      </c>
      <c r="J278">
        <v>78.33</v>
      </c>
      <c r="K278">
        <v>11220</v>
      </c>
      <c r="L278" t="b">
        <v>1</v>
      </c>
      <c r="M278" s="13">
        <v>0.7319</v>
      </c>
    </row>
    <row r="279" spans="1:13" x14ac:dyDescent="0.25">
      <c r="A279" s="2">
        <v>43671</v>
      </c>
      <c r="B279" s="1" t="s">
        <v>263</v>
      </c>
      <c r="C279" s="1" t="s">
        <v>264</v>
      </c>
      <c r="D279">
        <v>3</v>
      </c>
      <c r="E279">
        <v>10685.89</v>
      </c>
      <c r="F279">
        <v>10616.25</v>
      </c>
      <c r="G279">
        <v>558.75</v>
      </c>
      <c r="H279" s="8">
        <f>SUM(sales_data[[#This Row],[rand discount]]/sales_data[[#This Row],[total order total]])</f>
        <v>5.2288578677115338E-2</v>
      </c>
      <c r="I279">
        <v>5</v>
      </c>
      <c r="J279">
        <v>69.64</v>
      </c>
      <c r="K279">
        <v>11175</v>
      </c>
      <c r="L279" t="b">
        <v>0</v>
      </c>
      <c r="M279" s="13">
        <v>1.7053</v>
      </c>
    </row>
    <row r="280" spans="1:13" x14ac:dyDescent="0.25">
      <c r="A280" s="2">
        <v>43743</v>
      </c>
      <c r="B280" s="1" t="s">
        <v>305</v>
      </c>
      <c r="C280" s="1" t="s">
        <v>306</v>
      </c>
      <c r="D280">
        <v>3</v>
      </c>
      <c r="E280">
        <v>9566.9599999999991</v>
      </c>
      <c r="F280">
        <v>9460.5</v>
      </c>
      <c r="G280">
        <v>1669.5</v>
      </c>
      <c r="H280" s="8">
        <f>SUM(sales_data[[#This Row],[rand discount]]/sales_data[[#This Row],[total order total]])</f>
        <v>0.17450684438944034</v>
      </c>
      <c r="I280">
        <v>15</v>
      </c>
      <c r="J280">
        <v>106.46</v>
      </c>
      <c r="K280">
        <v>11130</v>
      </c>
      <c r="L280" t="b">
        <v>1</v>
      </c>
      <c r="M280" s="13">
        <v>1.1726000000000001</v>
      </c>
    </row>
    <row r="281" spans="1:13" x14ac:dyDescent="0.25">
      <c r="A281" s="2">
        <v>43606</v>
      </c>
      <c r="B281" s="1" t="s">
        <v>579</v>
      </c>
      <c r="C281" s="1" t="s">
        <v>580</v>
      </c>
      <c r="D281">
        <v>1</v>
      </c>
      <c r="E281">
        <v>8413.7800000000007</v>
      </c>
      <c r="F281">
        <v>8347.5</v>
      </c>
      <c r="G281">
        <v>2782.5</v>
      </c>
      <c r="H281" s="8">
        <f>SUM(sales_data[[#This Row],[rand discount]]/sales_data[[#This Row],[total order total]])</f>
        <v>0.33070748224935759</v>
      </c>
      <c r="I281">
        <v>25</v>
      </c>
      <c r="J281">
        <v>66.28</v>
      </c>
      <c r="K281">
        <v>11130</v>
      </c>
      <c r="L281" t="b">
        <v>1</v>
      </c>
      <c r="M281" s="13">
        <v>0.91679999999999995</v>
      </c>
    </row>
    <row r="282" spans="1:13" x14ac:dyDescent="0.25">
      <c r="A282" s="2">
        <v>43575</v>
      </c>
      <c r="B282" s="1" t="s">
        <v>347</v>
      </c>
      <c r="C282" s="1" t="s">
        <v>348</v>
      </c>
      <c r="D282">
        <v>2</v>
      </c>
      <c r="E282">
        <v>10070.48</v>
      </c>
      <c r="F282">
        <v>9990</v>
      </c>
      <c r="G282">
        <v>1110</v>
      </c>
      <c r="H282" s="8">
        <f>SUM(sales_data[[#This Row],[rand discount]]/sales_data[[#This Row],[total order total]])</f>
        <v>0.11022314725812474</v>
      </c>
      <c r="I282">
        <v>10</v>
      </c>
      <c r="J282">
        <v>80.48</v>
      </c>
      <c r="K282">
        <v>11100</v>
      </c>
      <c r="L282" t="b">
        <v>1</v>
      </c>
      <c r="M282" s="13">
        <v>1.0404</v>
      </c>
    </row>
    <row r="283" spans="1:13" x14ac:dyDescent="0.25">
      <c r="A283" s="2">
        <v>43502</v>
      </c>
      <c r="B283" s="1" t="s">
        <v>731</v>
      </c>
      <c r="C283" s="1" t="s">
        <v>732</v>
      </c>
      <c r="D283">
        <v>3</v>
      </c>
      <c r="E283">
        <v>10621.14</v>
      </c>
      <c r="F283">
        <v>10545</v>
      </c>
      <c r="G283">
        <v>555</v>
      </c>
      <c r="H283" s="8">
        <f>SUM(sales_data[[#This Row],[rand discount]]/sales_data[[#This Row],[total order total]])</f>
        <v>5.225427778938984E-2</v>
      </c>
      <c r="I283">
        <v>5</v>
      </c>
      <c r="J283">
        <v>76.14</v>
      </c>
      <c r="K283">
        <v>11100</v>
      </c>
      <c r="L283" t="b">
        <v>0</v>
      </c>
      <c r="M283" s="13">
        <v>1.2262</v>
      </c>
    </row>
    <row r="284" spans="1:13" x14ac:dyDescent="0.25">
      <c r="A284" s="2">
        <v>43648</v>
      </c>
      <c r="B284" s="1" t="s">
        <v>868</v>
      </c>
      <c r="C284" s="1" t="s">
        <v>869</v>
      </c>
      <c r="D284">
        <v>2</v>
      </c>
      <c r="E284">
        <v>11176.33</v>
      </c>
      <c r="F284">
        <v>11100</v>
      </c>
      <c r="G284">
        <v>0</v>
      </c>
      <c r="H284" s="8">
        <f>SUM(sales_data[[#This Row],[rand discount]]/sales_data[[#This Row],[total order total]])</f>
        <v>0</v>
      </c>
      <c r="I284">
        <v>0</v>
      </c>
      <c r="J284">
        <v>76.33</v>
      </c>
      <c r="K284">
        <v>11100</v>
      </c>
      <c r="L284" t="b">
        <v>1</v>
      </c>
      <c r="M284" s="13">
        <v>0.6623</v>
      </c>
    </row>
    <row r="285" spans="1:13" x14ac:dyDescent="0.25">
      <c r="A285" s="2">
        <v>43726</v>
      </c>
      <c r="B285" s="1" t="s">
        <v>981</v>
      </c>
      <c r="C285" s="1" t="s">
        <v>982</v>
      </c>
      <c r="D285">
        <v>1</v>
      </c>
      <c r="E285">
        <v>11188.73</v>
      </c>
      <c r="F285">
        <v>11090</v>
      </c>
      <c r="G285">
        <v>0</v>
      </c>
      <c r="H285" s="8">
        <f>SUM(sales_data[[#This Row],[rand discount]]/sales_data[[#This Row],[total order total]])</f>
        <v>0</v>
      </c>
      <c r="I285">
        <v>0</v>
      </c>
      <c r="J285">
        <v>98.73</v>
      </c>
      <c r="K285">
        <v>11090</v>
      </c>
      <c r="L285" t="b">
        <v>1</v>
      </c>
      <c r="M285" s="13">
        <v>0.43430000000000002</v>
      </c>
    </row>
    <row r="286" spans="1:13" x14ac:dyDescent="0.25">
      <c r="A286" s="2">
        <v>43484</v>
      </c>
      <c r="B286" s="1" t="s">
        <v>621</v>
      </c>
      <c r="C286" s="1" t="s">
        <v>622</v>
      </c>
      <c r="D286">
        <v>3</v>
      </c>
      <c r="E286">
        <v>10884.03</v>
      </c>
      <c r="F286">
        <v>10820</v>
      </c>
      <c r="G286">
        <v>0</v>
      </c>
      <c r="H286" s="8">
        <f>SUM(sales_data[[#This Row],[rand discount]]/sales_data[[#This Row],[total order total]])</f>
        <v>0</v>
      </c>
      <c r="I286">
        <v>0</v>
      </c>
      <c r="J286">
        <v>64.03</v>
      </c>
      <c r="K286">
        <v>10820</v>
      </c>
      <c r="L286" t="b">
        <v>0</v>
      </c>
      <c r="M286" s="13">
        <v>1.3391999999999999</v>
      </c>
    </row>
    <row r="287" spans="1:13" x14ac:dyDescent="0.25">
      <c r="A287" s="2">
        <v>43526</v>
      </c>
      <c r="B287" s="1" t="s">
        <v>13</v>
      </c>
      <c r="C287" s="1" t="s">
        <v>14</v>
      </c>
      <c r="D287">
        <v>2</v>
      </c>
      <c r="E287">
        <v>9668.8700000000008</v>
      </c>
      <c r="F287">
        <v>9603</v>
      </c>
      <c r="G287">
        <v>1067</v>
      </c>
      <c r="H287" s="8">
        <f>SUM(sales_data[[#This Row],[rand discount]]/sales_data[[#This Row],[total order total]])</f>
        <v>0.11035415720761577</v>
      </c>
      <c r="I287">
        <v>10</v>
      </c>
      <c r="J287">
        <v>65.87</v>
      </c>
      <c r="K287">
        <v>10670</v>
      </c>
      <c r="L287" t="b">
        <v>0</v>
      </c>
      <c r="M287" s="13">
        <v>1.0949</v>
      </c>
    </row>
    <row r="288" spans="1:13" x14ac:dyDescent="0.25">
      <c r="A288" s="2">
        <v>43697</v>
      </c>
      <c r="B288" s="1" t="s">
        <v>559</v>
      </c>
      <c r="C288" s="1" t="s">
        <v>560</v>
      </c>
      <c r="D288">
        <v>1</v>
      </c>
      <c r="E288">
        <v>8058.64</v>
      </c>
      <c r="F288">
        <v>7995</v>
      </c>
      <c r="G288">
        <v>2665</v>
      </c>
      <c r="H288" s="8">
        <f>SUM(sales_data[[#This Row],[rand discount]]/sales_data[[#This Row],[total order total]])</f>
        <v>0.33070096194891446</v>
      </c>
      <c r="I288">
        <v>25</v>
      </c>
      <c r="J288">
        <v>63.64</v>
      </c>
      <c r="K288">
        <v>10660</v>
      </c>
      <c r="L288" t="b">
        <v>1</v>
      </c>
      <c r="M288" s="13">
        <v>1.2033</v>
      </c>
    </row>
    <row r="289" spans="1:13" x14ac:dyDescent="0.25">
      <c r="A289" s="2">
        <v>43827</v>
      </c>
      <c r="B289" s="1" t="s">
        <v>965</v>
      </c>
      <c r="C289" s="1" t="s">
        <v>966</v>
      </c>
      <c r="D289">
        <v>3</v>
      </c>
      <c r="E289">
        <v>8070.42</v>
      </c>
      <c r="F289">
        <v>7995</v>
      </c>
      <c r="G289">
        <v>2665</v>
      </c>
      <c r="H289" s="8">
        <f>SUM(sales_data[[#This Row],[rand discount]]/sales_data[[#This Row],[total order total]])</f>
        <v>0.33021825382074294</v>
      </c>
      <c r="I289">
        <v>25</v>
      </c>
      <c r="J289">
        <v>75.42</v>
      </c>
      <c r="K289">
        <v>10660</v>
      </c>
      <c r="L289" t="b">
        <v>0</v>
      </c>
      <c r="M289" s="13">
        <v>1.1020000000000001</v>
      </c>
    </row>
    <row r="290" spans="1:13" x14ac:dyDescent="0.25">
      <c r="A290" s="2">
        <v>43602</v>
      </c>
      <c r="B290" s="1" t="s">
        <v>645</v>
      </c>
      <c r="C290" s="1" t="s">
        <v>646</v>
      </c>
      <c r="D290">
        <v>2</v>
      </c>
      <c r="E290">
        <v>8018.73</v>
      </c>
      <c r="F290">
        <v>7938.75</v>
      </c>
      <c r="G290">
        <v>2646.25</v>
      </c>
      <c r="H290" s="8">
        <f>SUM(sales_data[[#This Row],[rand discount]]/sales_data[[#This Row],[total order total]])</f>
        <v>0.33000861732468861</v>
      </c>
      <c r="I290">
        <v>25</v>
      </c>
      <c r="J290">
        <v>79.98</v>
      </c>
      <c r="K290">
        <v>10585</v>
      </c>
      <c r="L290" t="b">
        <v>1</v>
      </c>
      <c r="M290" s="13">
        <v>0.8921</v>
      </c>
    </row>
    <row r="291" spans="1:13" x14ac:dyDescent="0.25">
      <c r="A291" s="2">
        <v>43622</v>
      </c>
      <c r="B291" s="1" t="s">
        <v>761</v>
      </c>
      <c r="C291" s="1" t="s">
        <v>762</v>
      </c>
      <c r="D291">
        <v>1</v>
      </c>
      <c r="E291">
        <v>10040.73</v>
      </c>
      <c r="F291">
        <v>9994</v>
      </c>
      <c r="G291">
        <v>526</v>
      </c>
      <c r="H291" s="8">
        <f>SUM(sales_data[[#This Row],[rand discount]]/sales_data[[#This Row],[total order total]])</f>
        <v>5.2386629259027984E-2</v>
      </c>
      <c r="I291">
        <v>5</v>
      </c>
      <c r="J291">
        <v>46.73</v>
      </c>
      <c r="K291">
        <v>10520</v>
      </c>
      <c r="L291" t="b">
        <v>0</v>
      </c>
      <c r="M291" s="13">
        <v>0.54159999999999997</v>
      </c>
    </row>
    <row r="292" spans="1:13" x14ac:dyDescent="0.25">
      <c r="A292" s="2">
        <v>43609</v>
      </c>
      <c r="B292" s="1" t="s">
        <v>547</v>
      </c>
      <c r="C292" s="1" t="s">
        <v>548</v>
      </c>
      <c r="D292">
        <v>2</v>
      </c>
      <c r="E292">
        <v>10002.469999999999</v>
      </c>
      <c r="F292">
        <v>9937</v>
      </c>
      <c r="G292">
        <v>523</v>
      </c>
      <c r="H292" s="8">
        <f>SUM(sales_data[[#This Row],[rand discount]]/sales_data[[#This Row],[total order total]])</f>
        <v>5.2287085089982775E-2</v>
      </c>
      <c r="I292">
        <v>5</v>
      </c>
      <c r="J292">
        <v>65.47</v>
      </c>
      <c r="K292">
        <v>10460</v>
      </c>
      <c r="L292" t="b">
        <v>1</v>
      </c>
      <c r="M292" s="13">
        <v>1.0228999999999999</v>
      </c>
    </row>
    <row r="293" spans="1:13" x14ac:dyDescent="0.25">
      <c r="A293" s="2">
        <v>43623</v>
      </c>
      <c r="B293" s="1" t="s">
        <v>571</v>
      </c>
      <c r="C293" s="1" t="s">
        <v>572</v>
      </c>
      <c r="D293">
        <v>1</v>
      </c>
      <c r="E293">
        <v>9917.9500000000007</v>
      </c>
      <c r="F293">
        <v>9837.25</v>
      </c>
      <c r="G293">
        <v>517.75</v>
      </c>
      <c r="H293" s="8">
        <f>SUM(sales_data[[#This Row],[rand discount]]/sales_data[[#This Row],[total order total]])</f>
        <v>5.2203328308773479E-2</v>
      </c>
      <c r="I293">
        <v>5</v>
      </c>
      <c r="J293">
        <v>80.7</v>
      </c>
      <c r="K293">
        <v>10355</v>
      </c>
      <c r="L293" t="b">
        <v>1</v>
      </c>
      <c r="M293" s="13">
        <v>1.5123</v>
      </c>
    </row>
    <row r="294" spans="1:13" x14ac:dyDescent="0.25">
      <c r="A294" s="2">
        <v>43571</v>
      </c>
      <c r="B294" s="1" t="s">
        <v>287</v>
      </c>
      <c r="C294" s="1" t="s">
        <v>288</v>
      </c>
      <c r="D294">
        <v>2</v>
      </c>
      <c r="E294">
        <v>8859.0300000000007</v>
      </c>
      <c r="F294">
        <v>8776.25</v>
      </c>
      <c r="G294">
        <v>1548.75</v>
      </c>
      <c r="H294" s="8">
        <f>SUM(sales_data[[#This Row],[rand discount]]/sales_data[[#This Row],[total order total]])</f>
        <v>0.17482162268329601</v>
      </c>
      <c r="I294">
        <v>15</v>
      </c>
      <c r="J294">
        <v>82.78</v>
      </c>
      <c r="K294">
        <v>10325</v>
      </c>
      <c r="L294" t="b">
        <v>1</v>
      </c>
      <c r="M294" s="13">
        <v>1.3732</v>
      </c>
    </row>
    <row r="295" spans="1:13" x14ac:dyDescent="0.25">
      <c r="A295" s="2">
        <v>43772</v>
      </c>
      <c r="B295" s="1" t="s">
        <v>155</v>
      </c>
      <c r="C295" s="1" t="s">
        <v>156</v>
      </c>
      <c r="D295">
        <v>2</v>
      </c>
      <c r="E295">
        <v>8802.6</v>
      </c>
      <c r="F295">
        <v>8721</v>
      </c>
      <c r="G295">
        <v>1539</v>
      </c>
      <c r="H295" s="8">
        <f>SUM(sales_data[[#This Row],[rand discount]]/sales_data[[#This Row],[total order total]])</f>
        <v>0.17483470792720332</v>
      </c>
      <c r="I295">
        <v>15</v>
      </c>
      <c r="J295">
        <v>81.599999999999994</v>
      </c>
      <c r="K295">
        <v>10260</v>
      </c>
      <c r="L295" t="b">
        <v>0</v>
      </c>
      <c r="M295" s="13">
        <v>1.48</v>
      </c>
    </row>
    <row r="296" spans="1:13" x14ac:dyDescent="0.25">
      <c r="A296" s="2">
        <v>43551</v>
      </c>
      <c r="B296" s="1" t="s">
        <v>745</v>
      </c>
      <c r="C296" s="1" t="s">
        <v>746</v>
      </c>
      <c r="D296">
        <v>3</v>
      </c>
      <c r="E296">
        <v>9733.6299999999992</v>
      </c>
      <c r="F296">
        <v>9671</v>
      </c>
      <c r="G296">
        <v>509</v>
      </c>
      <c r="H296" s="8">
        <f>SUM(sales_data[[#This Row],[rand discount]]/sales_data[[#This Row],[total order total]])</f>
        <v>5.2292926688193415E-2</v>
      </c>
      <c r="I296">
        <v>5</v>
      </c>
      <c r="J296">
        <v>62.63</v>
      </c>
      <c r="K296">
        <v>10180</v>
      </c>
      <c r="L296" t="b">
        <v>1</v>
      </c>
      <c r="M296" s="13">
        <v>0.48180000000000001</v>
      </c>
    </row>
    <row r="297" spans="1:13" x14ac:dyDescent="0.25">
      <c r="A297" s="2">
        <v>43815</v>
      </c>
      <c r="B297" s="1" t="s">
        <v>389</v>
      </c>
      <c r="C297" s="1" t="s">
        <v>390</v>
      </c>
      <c r="D297">
        <v>2</v>
      </c>
      <c r="E297">
        <v>9232.56</v>
      </c>
      <c r="F297">
        <v>9157.5</v>
      </c>
      <c r="G297">
        <v>1017.5</v>
      </c>
      <c r="H297" s="8">
        <f>SUM(sales_data[[#This Row],[rand discount]]/sales_data[[#This Row],[total order total]])</f>
        <v>0.11020778635611359</v>
      </c>
      <c r="I297">
        <v>10</v>
      </c>
      <c r="J297">
        <v>75.06</v>
      </c>
      <c r="K297">
        <v>10175</v>
      </c>
      <c r="L297" t="b">
        <v>0</v>
      </c>
      <c r="M297" s="13">
        <v>0.99450000000000005</v>
      </c>
    </row>
    <row r="298" spans="1:13" x14ac:dyDescent="0.25">
      <c r="A298" s="2">
        <v>43754</v>
      </c>
      <c r="B298" s="1" t="s">
        <v>147</v>
      </c>
      <c r="C298" s="1" t="s">
        <v>148</v>
      </c>
      <c r="D298">
        <v>2</v>
      </c>
      <c r="E298">
        <v>9619.7900000000009</v>
      </c>
      <c r="F298">
        <v>9519</v>
      </c>
      <c r="G298">
        <v>501</v>
      </c>
      <c r="H298" s="8">
        <f>SUM(sales_data[[#This Row],[rand discount]]/sales_data[[#This Row],[total order total]])</f>
        <v>5.208013896353246E-2</v>
      </c>
      <c r="I298">
        <v>5</v>
      </c>
      <c r="J298">
        <v>100.79</v>
      </c>
      <c r="K298">
        <v>10020</v>
      </c>
      <c r="L298" t="b">
        <v>1</v>
      </c>
      <c r="M298" s="13">
        <v>0.80889999999999995</v>
      </c>
    </row>
    <row r="299" spans="1:13" x14ac:dyDescent="0.25">
      <c r="A299" s="2">
        <v>43772</v>
      </c>
      <c r="B299" s="1" t="s">
        <v>289</v>
      </c>
      <c r="C299" s="1" t="s">
        <v>290</v>
      </c>
      <c r="D299">
        <v>3</v>
      </c>
      <c r="E299">
        <v>10112.76</v>
      </c>
      <c r="F299">
        <v>10015</v>
      </c>
      <c r="G299">
        <v>0</v>
      </c>
      <c r="H299" s="8">
        <f>SUM(sales_data[[#This Row],[rand discount]]/sales_data[[#This Row],[total order total]])</f>
        <v>0</v>
      </c>
      <c r="I299">
        <v>0</v>
      </c>
      <c r="J299">
        <v>97.76</v>
      </c>
      <c r="K299">
        <v>10015</v>
      </c>
      <c r="L299" t="b">
        <v>1</v>
      </c>
      <c r="M299" s="13">
        <v>2.0449000000000002</v>
      </c>
    </row>
    <row r="300" spans="1:13" x14ac:dyDescent="0.25">
      <c r="A300" s="2">
        <v>43694</v>
      </c>
      <c r="B300" s="1" t="s">
        <v>631</v>
      </c>
      <c r="C300" s="1" t="s">
        <v>632</v>
      </c>
      <c r="D300">
        <v>1</v>
      </c>
      <c r="E300">
        <v>7538.91</v>
      </c>
      <c r="F300">
        <v>7462.5</v>
      </c>
      <c r="G300">
        <v>2487.5</v>
      </c>
      <c r="H300" s="8">
        <f>SUM(sales_data[[#This Row],[rand discount]]/sales_data[[#This Row],[total order total]])</f>
        <v>0.32995486084858422</v>
      </c>
      <c r="I300">
        <v>25</v>
      </c>
      <c r="J300">
        <v>76.41</v>
      </c>
      <c r="K300">
        <v>9950</v>
      </c>
      <c r="L300" t="b">
        <v>1</v>
      </c>
      <c r="M300" s="13">
        <v>0.91310000000000002</v>
      </c>
    </row>
    <row r="301" spans="1:13" x14ac:dyDescent="0.25">
      <c r="A301" s="2">
        <v>43536</v>
      </c>
      <c r="B301" s="1" t="s">
        <v>864</v>
      </c>
      <c r="C301" s="1" t="s">
        <v>865</v>
      </c>
      <c r="D301">
        <v>1</v>
      </c>
      <c r="E301">
        <v>10018.24</v>
      </c>
      <c r="F301">
        <v>9950</v>
      </c>
      <c r="G301">
        <v>0</v>
      </c>
      <c r="H301" s="8">
        <f>SUM(sales_data[[#This Row],[rand discount]]/sales_data[[#This Row],[total order total]])</f>
        <v>0</v>
      </c>
      <c r="I301">
        <v>0</v>
      </c>
      <c r="J301">
        <v>68.239999999999995</v>
      </c>
      <c r="K301">
        <v>9950</v>
      </c>
      <c r="L301" t="b">
        <v>0</v>
      </c>
      <c r="M301" s="13">
        <v>1.2587999999999999</v>
      </c>
    </row>
    <row r="302" spans="1:13" x14ac:dyDescent="0.25">
      <c r="A302" s="2">
        <v>43710</v>
      </c>
      <c r="B302" s="1" t="s">
        <v>313</v>
      </c>
      <c r="C302" s="1" t="s">
        <v>314</v>
      </c>
      <c r="D302">
        <v>1</v>
      </c>
      <c r="E302">
        <v>9945.92</v>
      </c>
      <c r="F302">
        <v>9870</v>
      </c>
      <c r="G302">
        <v>0</v>
      </c>
      <c r="H302" s="8">
        <f>SUM(sales_data[[#This Row],[rand discount]]/sales_data[[#This Row],[total order total]])</f>
        <v>0</v>
      </c>
      <c r="I302">
        <v>0</v>
      </c>
      <c r="J302">
        <v>75.92</v>
      </c>
      <c r="K302">
        <v>9870</v>
      </c>
      <c r="L302" t="b">
        <v>0</v>
      </c>
      <c r="M302" s="13">
        <v>0.82120000000000004</v>
      </c>
    </row>
    <row r="303" spans="1:13" x14ac:dyDescent="0.25">
      <c r="A303" s="2">
        <v>43820</v>
      </c>
      <c r="B303" s="1" t="s">
        <v>95</v>
      </c>
      <c r="C303" s="1" t="s">
        <v>96</v>
      </c>
      <c r="D303">
        <v>1</v>
      </c>
      <c r="E303">
        <v>8437.4500000000007</v>
      </c>
      <c r="F303">
        <v>8385.25</v>
      </c>
      <c r="G303">
        <v>1479.75</v>
      </c>
      <c r="H303" s="8">
        <f>SUM(sales_data[[#This Row],[rand discount]]/sales_data[[#This Row],[total order total]])</f>
        <v>0.17537881705965663</v>
      </c>
      <c r="I303">
        <v>15</v>
      </c>
      <c r="J303">
        <v>52.2</v>
      </c>
      <c r="K303">
        <v>9865</v>
      </c>
      <c r="L303" t="b">
        <v>0</v>
      </c>
      <c r="M303" s="13">
        <v>0.42899999999999999</v>
      </c>
    </row>
    <row r="304" spans="1:13" x14ac:dyDescent="0.25">
      <c r="A304" s="2">
        <v>43763</v>
      </c>
      <c r="B304" s="1" t="s">
        <v>843</v>
      </c>
      <c r="C304" s="1" t="s">
        <v>844</v>
      </c>
      <c r="D304">
        <v>3</v>
      </c>
      <c r="E304">
        <v>9977.0400000000009</v>
      </c>
      <c r="F304">
        <v>9865</v>
      </c>
      <c r="G304">
        <v>0</v>
      </c>
      <c r="H304" s="8">
        <f>SUM(sales_data[[#This Row],[rand discount]]/sales_data[[#This Row],[total order total]])</f>
        <v>0</v>
      </c>
      <c r="I304">
        <v>0</v>
      </c>
      <c r="J304">
        <v>112.04</v>
      </c>
      <c r="K304">
        <v>9865</v>
      </c>
      <c r="L304" t="b">
        <v>1</v>
      </c>
      <c r="M304" s="13">
        <v>2.2057000000000002</v>
      </c>
    </row>
    <row r="305" spans="1:13" x14ac:dyDescent="0.25">
      <c r="A305" s="2">
        <v>43790</v>
      </c>
      <c r="B305" s="1" t="s">
        <v>847</v>
      </c>
      <c r="C305" s="1" t="s">
        <v>848</v>
      </c>
      <c r="D305">
        <v>3</v>
      </c>
      <c r="E305">
        <v>7193.94</v>
      </c>
      <c r="F305">
        <v>7132.5</v>
      </c>
      <c r="G305">
        <v>2377.5</v>
      </c>
      <c r="H305" s="8">
        <f>SUM(sales_data[[#This Row],[rand discount]]/sales_data[[#This Row],[total order total]])</f>
        <v>0.3304864927981051</v>
      </c>
      <c r="I305">
        <v>25</v>
      </c>
      <c r="J305">
        <v>61.44</v>
      </c>
      <c r="K305">
        <v>9510</v>
      </c>
      <c r="L305" t="b">
        <v>0</v>
      </c>
      <c r="M305" s="13">
        <v>0.87609999999999999</v>
      </c>
    </row>
    <row r="306" spans="1:13" x14ac:dyDescent="0.25">
      <c r="A306" s="2">
        <v>43613</v>
      </c>
      <c r="B306" s="1" t="s">
        <v>911</v>
      </c>
      <c r="C306" s="1" t="s">
        <v>912</v>
      </c>
      <c r="D306">
        <v>1</v>
      </c>
      <c r="E306">
        <v>9101.7900000000009</v>
      </c>
      <c r="F306">
        <v>9025</v>
      </c>
      <c r="G306">
        <v>475</v>
      </c>
      <c r="H306" s="8">
        <f>SUM(sales_data[[#This Row],[rand discount]]/sales_data[[#This Row],[total order total]])</f>
        <v>5.2187536737279147E-2</v>
      </c>
      <c r="I306">
        <v>5</v>
      </c>
      <c r="J306">
        <v>76.790000000000006</v>
      </c>
      <c r="K306">
        <v>9500</v>
      </c>
      <c r="L306" t="b">
        <v>1</v>
      </c>
      <c r="M306" s="13">
        <v>0.54430000000000001</v>
      </c>
    </row>
    <row r="307" spans="1:13" x14ac:dyDescent="0.25">
      <c r="A307" s="2">
        <v>43690</v>
      </c>
      <c r="B307" s="1" t="s">
        <v>679</v>
      </c>
      <c r="C307" s="1" t="s">
        <v>680</v>
      </c>
      <c r="D307">
        <v>2</v>
      </c>
      <c r="E307">
        <v>8115.26</v>
      </c>
      <c r="F307">
        <v>8045.25</v>
      </c>
      <c r="G307">
        <v>1419.75</v>
      </c>
      <c r="H307" s="8">
        <f>SUM(sales_data[[#This Row],[rand discount]]/sales_data[[#This Row],[total order total]])</f>
        <v>0.17494818403846579</v>
      </c>
      <c r="I307">
        <v>15</v>
      </c>
      <c r="J307">
        <v>70.010000000000005</v>
      </c>
      <c r="K307">
        <v>9465</v>
      </c>
      <c r="L307" t="b">
        <v>0</v>
      </c>
      <c r="M307" s="13">
        <v>1.4664999999999999</v>
      </c>
    </row>
    <row r="308" spans="1:13" x14ac:dyDescent="0.25">
      <c r="A308" s="2">
        <v>43657</v>
      </c>
      <c r="B308" s="1" t="s">
        <v>291</v>
      </c>
      <c r="C308" s="1" t="s">
        <v>292</v>
      </c>
      <c r="D308">
        <v>1</v>
      </c>
      <c r="E308">
        <v>8949.93</v>
      </c>
      <c r="F308">
        <v>8892</v>
      </c>
      <c r="G308">
        <v>468</v>
      </c>
      <c r="H308" s="8">
        <f>SUM(sales_data[[#This Row],[rand discount]]/sales_data[[#This Row],[total order total]])</f>
        <v>5.2290911772494307E-2</v>
      </c>
      <c r="I308">
        <v>5</v>
      </c>
      <c r="J308">
        <v>57.93</v>
      </c>
      <c r="K308">
        <v>9360</v>
      </c>
      <c r="L308" t="b">
        <v>1</v>
      </c>
      <c r="M308" s="13">
        <v>0.30959999999999999</v>
      </c>
    </row>
    <row r="309" spans="1:13" x14ac:dyDescent="0.25">
      <c r="A309" s="2">
        <v>43693</v>
      </c>
      <c r="B309" s="1" t="s">
        <v>935</v>
      </c>
      <c r="C309" s="1" t="s">
        <v>936</v>
      </c>
      <c r="D309">
        <v>2</v>
      </c>
      <c r="E309">
        <v>8480.5</v>
      </c>
      <c r="F309">
        <v>8415</v>
      </c>
      <c r="G309">
        <v>935</v>
      </c>
      <c r="H309" s="8">
        <f>SUM(sales_data[[#This Row],[rand discount]]/sales_data[[#This Row],[total order total]])</f>
        <v>0.11025293319969341</v>
      </c>
      <c r="I309">
        <v>10</v>
      </c>
      <c r="J309">
        <v>65.5</v>
      </c>
      <c r="K309">
        <v>9350</v>
      </c>
      <c r="L309" t="b">
        <v>1</v>
      </c>
      <c r="M309" s="13">
        <v>1.3044</v>
      </c>
    </row>
    <row r="310" spans="1:13" x14ac:dyDescent="0.25">
      <c r="A310" s="2">
        <v>43568</v>
      </c>
      <c r="B310" s="1" t="s">
        <v>379</v>
      </c>
      <c r="C310" s="1" t="s">
        <v>380</v>
      </c>
      <c r="D310">
        <v>2</v>
      </c>
      <c r="E310">
        <v>8956.4500000000007</v>
      </c>
      <c r="F310">
        <v>8873</v>
      </c>
      <c r="G310">
        <v>467</v>
      </c>
      <c r="H310" s="8">
        <f>SUM(sales_data[[#This Row],[rand discount]]/sales_data[[#This Row],[total order total]])</f>
        <v>5.2141194334808988E-2</v>
      </c>
      <c r="I310">
        <v>5</v>
      </c>
      <c r="J310">
        <v>83.45</v>
      </c>
      <c r="K310">
        <v>9340</v>
      </c>
      <c r="L310" t="b">
        <v>1</v>
      </c>
      <c r="M310" s="13">
        <v>1.8357000000000001</v>
      </c>
    </row>
    <row r="311" spans="1:13" x14ac:dyDescent="0.25">
      <c r="A311" s="2">
        <v>43635</v>
      </c>
      <c r="B311" s="1" t="s">
        <v>784</v>
      </c>
      <c r="C311" s="1" t="s">
        <v>785</v>
      </c>
      <c r="D311">
        <v>1</v>
      </c>
      <c r="E311">
        <v>8851.73</v>
      </c>
      <c r="F311">
        <v>8787.5</v>
      </c>
      <c r="G311">
        <v>462.5</v>
      </c>
      <c r="H311" s="8">
        <f>SUM(sales_data[[#This Row],[rand discount]]/sales_data[[#This Row],[total order total]])</f>
        <v>5.2249673227719333E-2</v>
      </c>
      <c r="I311">
        <v>5</v>
      </c>
      <c r="J311">
        <v>64.23</v>
      </c>
      <c r="K311">
        <v>9250</v>
      </c>
      <c r="L311" t="b">
        <v>0</v>
      </c>
      <c r="M311" s="13">
        <v>0.44479999999999997</v>
      </c>
    </row>
    <row r="312" spans="1:13" x14ac:dyDescent="0.25">
      <c r="A312" s="2">
        <v>43793</v>
      </c>
      <c r="B312" s="1" t="s">
        <v>257</v>
      </c>
      <c r="C312" s="1" t="s">
        <v>258</v>
      </c>
      <c r="D312">
        <v>1</v>
      </c>
      <c r="E312">
        <v>8362.3700000000008</v>
      </c>
      <c r="F312">
        <v>8280</v>
      </c>
      <c r="G312">
        <v>920</v>
      </c>
      <c r="H312" s="8">
        <f>SUM(sales_data[[#This Row],[rand discount]]/sales_data[[#This Row],[total order total]])</f>
        <v>0.11001665795701457</v>
      </c>
      <c r="I312">
        <v>10</v>
      </c>
      <c r="J312">
        <v>82.37</v>
      </c>
      <c r="K312">
        <v>9200</v>
      </c>
      <c r="L312" t="b">
        <v>1</v>
      </c>
      <c r="M312" s="13">
        <v>0.38769999999999999</v>
      </c>
    </row>
    <row r="313" spans="1:13" x14ac:dyDescent="0.25">
      <c r="A313" s="2">
        <v>43797</v>
      </c>
      <c r="B313" s="1" t="s">
        <v>17</v>
      </c>
      <c r="C313" s="1" t="s">
        <v>18</v>
      </c>
      <c r="D313">
        <v>2</v>
      </c>
      <c r="E313">
        <v>6934.29</v>
      </c>
      <c r="F313">
        <v>6858.75</v>
      </c>
      <c r="G313">
        <v>2286.25</v>
      </c>
      <c r="H313" s="8">
        <f>SUM(sales_data[[#This Row],[rand discount]]/sales_data[[#This Row],[total order total]])</f>
        <v>0.3297021036039739</v>
      </c>
      <c r="I313">
        <v>25</v>
      </c>
      <c r="J313">
        <v>75.540000000000006</v>
      </c>
      <c r="K313">
        <v>9145</v>
      </c>
      <c r="L313" t="b">
        <v>0</v>
      </c>
      <c r="M313" s="13">
        <v>0.5867</v>
      </c>
    </row>
    <row r="314" spans="1:13" x14ac:dyDescent="0.25">
      <c r="A314" s="2">
        <v>43591</v>
      </c>
      <c r="B314" s="1" t="s">
        <v>249</v>
      </c>
      <c r="C314" s="1" t="s">
        <v>250</v>
      </c>
      <c r="D314">
        <v>1</v>
      </c>
      <c r="E314">
        <v>8292.91</v>
      </c>
      <c r="F314">
        <v>8230.5</v>
      </c>
      <c r="G314">
        <v>914.5</v>
      </c>
      <c r="H314" s="8">
        <f>SUM(sales_data[[#This Row],[rand discount]]/sales_data[[#This Row],[total order total]])</f>
        <v>0.11027492158964707</v>
      </c>
      <c r="I314">
        <v>10</v>
      </c>
      <c r="J314">
        <v>62.41</v>
      </c>
      <c r="K314">
        <v>9145</v>
      </c>
      <c r="L314" t="b">
        <v>1</v>
      </c>
      <c r="M314" s="13">
        <v>0.75770000000000004</v>
      </c>
    </row>
    <row r="315" spans="1:13" x14ac:dyDescent="0.25">
      <c r="A315" s="2">
        <v>43621</v>
      </c>
      <c r="B315" s="1" t="s">
        <v>177</v>
      </c>
      <c r="C315" s="1" t="s">
        <v>178</v>
      </c>
      <c r="D315">
        <v>1</v>
      </c>
      <c r="E315">
        <v>7833.23</v>
      </c>
      <c r="F315">
        <v>7756.25</v>
      </c>
      <c r="G315">
        <v>1368.75</v>
      </c>
      <c r="H315" s="8">
        <f>SUM(sales_data[[#This Row],[rand discount]]/sales_data[[#This Row],[total order total]])</f>
        <v>0.17473634758586179</v>
      </c>
      <c r="I315">
        <v>15</v>
      </c>
      <c r="J315">
        <v>76.98</v>
      </c>
      <c r="K315">
        <v>9125</v>
      </c>
      <c r="L315" t="b">
        <v>1</v>
      </c>
      <c r="M315" s="13">
        <v>0.87760000000000005</v>
      </c>
    </row>
    <row r="316" spans="1:13" x14ac:dyDescent="0.25">
      <c r="A316" s="2">
        <v>43693</v>
      </c>
      <c r="B316" s="1" t="s">
        <v>297</v>
      </c>
      <c r="C316" s="1" t="s">
        <v>298</v>
      </c>
      <c r="D316">
        <v>3</v>
      </c>
      <c r="E316">
        <v>6924.65</v>
      </c>
      <c r="F316">
        <v>6843.75</v>
      </c>
      <c r="G316">
        <v>2281.25</v>
      </c>
      <c r="H316" s="8">
        <f>SUM(sales_data[[#This Row],[rand discount]]/sales_data[[#This Row],[total order total]])</f>
        <v>0.32943903301971944</v>
      </c>
      <c r="I316">
        <v>25</v>
      </c>
      <c r="J316">
        <v>80.900000000000006</v>
      </c>
      <c r="K316">
        <v>9125</v>
      </c>
      <c r="L316" t="b">
        <v>1</v>
      </c>
      <c r="M316" s="13">
        <v>1.2309000000000001</v>
      </c>
    </row>
    <row r="317" spans="1:13" x14ac:dyDescent="0.25">
      <c r="A317" s="2">
        <v>43739</v>
      </c>
      <c r="B317" s="1" t="s">
        <v>899</v>
      </c>
      <c r="C317" s="1" t="s">
        <v>900</v>
      </c>
      <c r="D317">
        <v>1</v>
      </c>
      <c r="E317">
        <v>6927.69</v>
      </c>
      <c r="F317">
        <v>6825</v>
      </c>
      <c r="G317">
        <v>2275</v>
      </c>
      <c r="H317" s="8">
        <f>SUM(sales_data[[#This Row],[rand discount]]/sales_data[[#This Row],[total order total]])</f>
        <v>0.32839229238028839</v>
      </c>
      <c r="I317">
        <v>25</v>
      </c>
      <c r="J317">
        <v>102.69</v>
      </c>
      <c r="K317">
        <v>9100</v>
      </c>
      <c r="L317" t="b">
        <v>1</v>
      </c>
      <c r="M317" s="13">
        <v>0.94069999999999998</v>
      </c>
    </row>
    <row r="318" spans="1:13" x14ac:dyDescent="0.25">
      <c r="A318" s="2">
        <v>43828</v>
      </c>
      <c r="B318" s="1" t="s">
        <v>11</v>
      </c>
      <c r="C318" s="1" t="s">
        <v>12</v>
      </c>
      <c r="D318">
        <v>1</v>
      </c>
      <c r="E318">
        <v>9142.7099999999991</v>
      </c>
      <c r="F318">
        <v>9080</v>
      </c>
      <c r="G318">
        <v>0</v>
      </c>
      <c r="H318" s="8">
        <f>SUM(sales_data[[#This Row],[rand discount]]/sales_data[[#This Row],[total order total]])</f>
        <v>0</v>
      </c>
      <c r="I318">
        <v>0</v>
      </c>
      <c r="J318">
        <v>62.71</v>
      </c>
      <c r="K318">
        <v>9080</v>
      </c>
      <c r="L318" t="b">
        <v>0</v>
      </c>
      <c r="M318" s="13">
        <v>1.1620999999999999</v>
      </c>
    </row>
    <row r="319" spans="1:13" x14ac:dyDescent="0.25">
      <c r="A319" s="2">
        <v>43684</v>
      </c>
      <c r="B319" s="1" t="s">
        <v>337</v>
      </c>
      <c r="C319" s="1" t="s">
        <v>338</v>
      </c>
      <c r="D319">
        <v>2</v>
      </c>
      <c r="E319">
        <v>9145.9599999999991</v>
      </c>
      <c r="F319">
        <v>9070</v>
      </c>
      <c r="G319">
        <v>0</v>
      </c>
      <c r="H319" s="8">
        <f>SUM(sales_data[[#This Row],[rand discount]]/sales_data[[#This Row],[total order total]])</f>
        <v>0</v>
      </c>
      <c r="I319">
        <v>0</v>
      </c>
      <c r="J319">
        <v>75.959999999999994</v>
      </c>
      <c r="K319">
        <v>9070</v>
      </c>
      <c r="L319" t="b">
        <v>1</v>
      </c>
      <c r="M319" s="13">
        <v>0.6694</v>
      </c>
    </row>
    <row r="320" spans="1:13" x14ac:dyDescent="0.25">
      <c r="A320" s="2">
        <v>43673</v>
      </c>
      <c r="B320" s="1" t="s">
        <v>569</v>
      </c>
      <c r="C320" s="1" t="s">
        <v>570</v>
      </c>
      <c r="D320">
        <v>1</v>
      </c>
      <c r="E320">
        <v>8691.02</v>
      </c>
      <c r="F320">
        <v>8616.5</v>
      </c>
      <c r="G320">
        <v>453.5</v>
      </c>
      <c r="H320" s="8">
        <f>SUM(sales_data[[#This Row],[rand discount]]/sales_data[[#This Row],[total order total]])</f>
        <v>5.2180296443915669E-2</v>
      </c>
      <c r="I320">
        <v>5</v>
      </c>
      <c r="J320">
        <v>74.52</v>
      </c>
      <c r="K320">
        <v>9070</v>
      </c>
      <c r="L320" t="b">
        <v>1</v>
      </c>
      <c r="M320" s="13">
        <v>0.37119999999999997</v>
      </c>
    </row>
    <row r="321" spans="1:13" x14ac:dyDescent="0.25">
      <c r="A321" s="2">
        <v>43660</v>
      </c>
      <c r="B321" s="1" t="s">
        <v>841</v>
      </c>
      <c r="C321" s="1" t="s">
        <v>842</v>
      </c>
      <c r="D321">
        <v>3</v>
      </c>
      <c r="E321">
        <v>8209.98</v>
      </c>
      <c r="F321">
        <v>8154</v>
      </c>
      <c r="G321">
        <v>906</v>
      </c>
      <c r="H321" s="8">
        <f>SUM(sales_data[[#This Row],[rand discount]]/sales_data[[#This Row],[total order total]])</f>
        <v>0.11035349659804287</v>
      </c>
      <c r="I321">
        <v>10</v>
      </c>
      <c r="J321">
        <v>55.98</v>
      </c>
      <c r="K321">
        <v>9060</v>
      </c>
      <c r="L321" t="b">
        <v>0</v>
      </c>
      <c r="M321" s="13">
        <v>1.6529</v>
      </c>
    </row>
    <row r="322" spans="1:13" x14ac:dyDescent="0.25">
      <c r="A322" s="2">
        <v>43744</v>
      </c>
      <c r="B322" s="1" t="s">
        <v>189</v>
      </c>
      <c r="C322" s="1" t="s">
        <v>190</v>
      </c>
      <c r="D322">
        <v>3</v>
      </c>
      <c r="E322">
        <v>9143.57</v>
      </c>
      <c r="F322">
        <v>9035</v>
      </c>
      <c r="G322">
        <v>0</v>
      </c>
      <c r="H322" s="8">
        <f>SUM(sales_data[[#This Row],[rand discount]]/sales_data[[#This Row],[total order total]])</f>
        <v>0</v>
      </c>
      <c r="I322">
        <v>0</v>
      </c>
      <c r="J322">
        <v>108.57</v>
      </c>
      <c r="K322">
        <v>9035</v>
      </c>
      <c r="L322" t="b">
        <v>1</v>
      </c>
      <c r="M322" s="13">
        <v>1.7925</v>
      </c>
    </row>
    <row r="323" spans="1:13" x14ac:dyDescent="0.25">
      <c r="A323" s="2">
        <v>43717</v>
      </c>
      <c r="B323" s="1" t="s">
        <v>401</v>
      </c>
      <c r="C323" s="1" t="s">
        <v>402</v>
      </c>
      <c r="D323">
        <v>1</v>
      </c>
      <c r="E323">
        <v>7704.07</v>
      </c>
      <c r="F323">
        <v>7645.75</v>
      </c>
      <c r="G323">
        <v>1349.25</v>
      </c>
      <c r="H323" s="8">
        <f>SUM(sales_data[[#This Row],[rand discount]]/sales_data[[#This Row],[total order total]])</f>
        <v>0.1751347015278937</v>
      </c>
      <c r="I323">
        <v>15</v>
      </c>
      <c r="J323">
        <v>58.32</v>
      </c>
      <c r="K323">
        <v>8995</v>
      </c>
      <c r="L323" t="b">
        <v>0</v>
      </c>
      <c r="M323" s="13">
        <v>0.49340000000000001</v>
      </c>
    </row>
    <row r="324" spans="1:13" x14ac:dyDescent="0.25">
      <c r="A324" s="2">
        <v>43546</v>
      </c>
      <c r="B324" s="1" t="s">
        <v>505</v>
      </c>
      <c r="C324" s="1" t="s">
        <v>506</v>
      </c>
      <c r="D324">
        <v>2</v>
      </c>
      <c r="E324">
        <v>8164.33</v>
      </c>
      <c r="F324">
        <v>8095.5</v>
      </c>
      <c r="G324">
        <v>899.5</v>
      </c>
      <c r="H324" s="8">
        <f>SUM(sales_data[[#This Row],[rand discount]]/sales_data[[#This Row],[total order total]])</f>
        <v>0.11017438050642245</v>
      </c>
      <c r="I324">
        <v>10</v>
      </c>
      <c r="J324">
        <v>68.83</v>
      </c>
      <c r="K324">
        <v>8995</v>
      </c>
      <c r="L324" t="b">
        <v>0</v>
      </c>
      <c r="M324" s="13">
        <v>1.4652000000000001</v>
      </c>
    </row>
    <row r="325" spans="1:13" x14ac:dyDescent="0.25">
      <c r="A325" s="2">
        <v>43641</v>
      </c>
      <c r="B325" s="1" t="s">
        <v>599</v>
      </c>
      <c r="C325" s="1" t="s">
        <v>600</v>
      </c>
      <c r="D325">
        <v>1</v>
      </c>
      <c r="E325">
        <v>8161.65</v>
      </c>
      <c r="F325">
        <v>8095.5</v>
      </c>
      <c r="G325">
        <v>899.5</v>
      </c>
      <c r="H325" s="8">
        <f>SUM(sales_data[[#This Row],[rand discount]]/sales_data[[#This Row],[total order total]])</f>
        <v>0.11021055791414727</v>
      </c>
      <c r="I325">
        <v>10</v>
      </c>
      <c r="J325">
        <v>66.150000000000006</v>
      </c>
      <c r="K325">
        <v>8995</v>
      </c>
      <c r="L325" t="b">
        <v>0</v>
      </c>
      <c r="M325" s="13">
        <v>1.296</v>
      </c>
    </row>
    <row r="326" spans="1:13" x14ac:dyDescent="0.25">
      <c r="A326" s="2">
        <v>43782</v>
      </c>
      <c r="B326" s="1" t="s">
        <v>696</v>
      </c>
      <c r="C326" s="1" t="s">
        <v>697</v>
      </c>
      <c r="D326">
        <v>1</v>
      </c>
      <c r="E326">
        <v>7738.9</v>
      </c>
      <c r="F326">
        <v>7637.25</v>
      </c>
      <c r="G326">
        <v>1347.75</v>
      </c>
      <c r="H326" s="8">
        <f>SUM(sales_data[[#This Row],[rand discount]]/sales_data[[#This Row],[total order total]])</f>
        <v>0.17415265735440438</v>
      </c>
      <c r="I326">
        <v>15</v>
      </c>
      <c r="J326">
        <v>101.65</v>
      </c>
      <c r="K326">
        <v>8985</v>
      </c>
      <c r="L326" t="b">
        <v>1</v>
      </c>
      <c r="M326" s="13">
        <v>0.86170000000000002</v>
      </c>
    </row>
    <row r="327" spans="1:13" x14ac:dyDescent="0.25">
      <c r="A327" s="2">
        <v>43501</v>
      </c>
      <c r="B327" s="1" t="s">
        <v>269</v>
      </c>
      <c r="C327" s="1" t="s">
        <v>270</v>
      </c>
      <c r="D327">
        <v>1</v>
      </c>
      <c r="E327">
        <v>8162.8</v>
      </c>
      <c r="F327">
        <v>8068.5</v>
      </c>
      <c r="G327">
        <v>896.5</v>
      </c>
      <c r="H327" s="8">
        <f>SUM(sales_data[[#This Row],[rand discount]]/sales_data[[#This Row],[total order total]])</f>
        <v>0.10982751016807958</v>
      </c>
      <c r="I327">
        <v>10</v>
      </c>
      <c r="J327">
        <v>94.3</v>
      </c>
      <c r="K327">
        <v>8965</v>
      </c>
      <c r="L327" t="b">
        <v>1</v>
      </c>
      <c r="M327" s="13">
        <v>0.96050000000000002</v>
      </c>
    </row>
    <row r="328" spans="1:13" x14ac:dyDescent="0.25">
      <c r="A328" s="2">
        <v>43621</v>
      </c>
      <c r="B328" s="1" t="s">
        <v>581</v>
      </c>
      <c r="C328" s="1" t="s">
        <v>582</v>
      </c>
      <c r="D328">
        <v>2</v>
      </c>
      <c r="E328">
        <v>8134.87</v>
      </c>
      <c r="F328">
        <v>8055</v>
      </c>
      <c r="G328">
        <v>895</v>
      </c>
      <c r="H328" s="8">
        <f>SUM(sales_data[[#This Row],[rand discount]]/sales_data[[#This Row],[total order total]])</f>
        <v>0.11002019700376281</v>
      </c>
      <c r="I328">
        <v>10</v>
      </c>
      <c r="J328">
        <v>79.87</v>
      </c>
      <c r="K328">
        <v>8950</v>
      </c>
      <c r="L328" t="b">
        <v>1</v>
      </c>
      <c r="M328" s="13">
        <v>1.2357</v>
      </c>
    </row>
    <row r="329" spans="1:13" x14ac:dyDescent="0.25">
      <c r="A329" s="2">
        <v>43643</v>
      </c>
      <c r="B329" s="1" t="s">
        <v>821</v>
      </c>
      <c r="C329" s="1" t="s">
        <v>822</v>
      </c>
      <c r="D329">
        <v>3</v>
      </c>
      <c r="E329">
        <v>8568.91</v>
      </c>
      <c r="F329">
        <v>8493</v>
      </c>
      <c r="G329">
        <v>447</v>
      </c>
      <c r="H329" s="8">
        <f>SUM(sales_data[[#This Row],[rand discount]]/sales_data[[#This Row],[total order total]])</f>
        <v>5.2165327912184867E-2</v>
      </c>
      <c r="I329">
        <v>5</v>
      </c>
      <c r="J329">
        <v>75.91</v>
      </c>
      <c r="K329">
        <v>8940</v>
      </c>
      <c r="L329" t="b">
        <v>1</v>
      </c>
      <c r="M329" s="13">
        <v>0.54220000000000002</v>
      </c>
    </row>
    <row r="330" spans="1:13" x14ac:dyDescent="0.25">
      <c r="A330" s="2">
        <v>43472</v>
      </c>
      <c r="B330" s="1" t="s">
        <v>317</v>
      </c>
      <c r="C330" s="1" t="s">
        <v>318</v>
      </c>
      <c r="D330">
        <v>3</v>
      </c>
      <c r="E330">
        <v>7543.51</v>
      </c>
      <c r="F330">
        <v>7471.5</v>
      </c>
      <c r="G330">
        <v>1318.5</v>
      </c>
      <c r="H330" s="8">
        <f>SUM(sales_data[[#This Row],[rand discount]]/sales_data[[#This Row],[total order total]])</f>
        <v>0.17478600810498029</v>
      </c>
      <c r="I330">
        <v>15</v>
      </c>
      <c r="J330">
        <v>72.010000000000005</v>
      </c>
      <c r="K330">
        <v>8790</v>
      </c>
      <c r="L330" t="b">
        <v>0</v>
      </c>
      <c r="M330" s="13">
        <v>0.79249999999999998</v>
      </c>
    </row>
    <row r="331" spans="1:13" x14ac:dyDescent="0.25">
      <c r="A331" s="2">
        <v>43793</v>
      </c>
      <c r="B331" s="1" t="s">
        <v>419</v>
      </c>
      <c r="C331" s="1" t="s">
        <v>420</v>
      </c>
      <c r="D331">
        <v>1</v>
      </c>
      <c r="E331">
        <v>8436.0300000000007</v>
      </c>
      <c r="F331">
        <v>8350.5</v>
      </c>
      <c r="G331">
        <v>439.5</v>
      </c>
      <c r="H331" s="8">
        <f>SUM(sales_data[[#This Row],[rand discount]]/sales_data[[#This Row],[total order total]])</f>
        <v>5.2097965512213677E-2</v>
      </c>
      <c r="I331">
        <v>5</v>
      </c>
      <c r="J331">
        <v>85.53</v>
      </c>
      <c r="K331">
        <v>8790</v>
      </c>
      <c r="L331" t="b">
        <v>0</v>
      </c>
      <c r="M331" s="13">
        <v>1.8956999999999999</v>
      </c>
    </row>
    <row r="332" spans="1:13" x14ac:dyDescent="0.25">
      <c r="A332" s="2">
        <v>43736</v>
      </c>
      <c r="B332" s="1" t="s">
        <v>105</v>
      </c>
      <c r="C332" s="1" t="s">
        <v>106</v>
      </c>
      <c r="D332">
        <v>1</v>
      </c>
      <c r="E332">
        <v>8836.33</v>
      </c>
      <c r="F332">
        <v>8770</v>
      </c>
      <c r="G332">
        <v>0</v>
      </c>
      <c r="H332" s="8">
        <f>SUM(sales_data[[#This Row],[rand discount]]/sales_data[[#This Row],[total order total]])</f>
        <v>0</v>
      </c>
      <c r="I332">
        <v>0</v>
      </c>
      <c r="J332">
        <v>66.33</v>
      </c>
      <c r="K332">
        <v>8770</v>
      </c>
      <c r="L332" t="b">
        <v>0</v>
      </c>
      <c r="M332" s="13">
        <v>1.3039000000000001</v>
      </c>
    </row>
    <row r="333" spans="1:13" x14ac:dyDescent="0.25">
      <c r="A333" s="2">
        <v>43641</v>
      </c>
      <c r="B333" s="1" t="s">
        <v>343</v>
      </c>
      <c r="C333" s="1" t="s">
        <v>344</v>
      </c>
      <c r="D333">
        <v>3</v>
      </c>
      <c r="E333">
        <v>7519.56</v>
      </c>
      <c r="F333">
        <v>7454.5</v>
      </c>
      <c r="G333">
        <v>1315.5</v>
      </c>
      <c r="H333" s="8">
        <f>SUM(sales_data[[#This Row],[rand discount]]/sales_data[[#This Row],[total order total]])</f>
        <v>0.17494374670858401</v>
      </c>
      <c r="I333">
        <v>15</v>
      </c>
      <c r="J333">
        <v>65.06</v>
      </c>
      <c r="K333">
        <v>8770</v>
      </c>
      <c r="L333" t="b">
        <v>0</v>
      </c>
      <c r="M333" s="13">
        <v>0.9345</v>
      </c>
    </row>
    <row r="334" spans="1:13" x14ac:dyDescent="0.25">
      <c r="A334" s="2">
        <v>43473</v>
      </c>
      <c r="B334" s="1" t="s">
        <v>692</v>
      </c>
      <c r="C334" s="1" t="s">
        <v>693</v>
      </c>
      <c r="D334">
        <v>1</v>
      </c>
      <c r="E334">
        <v>6655.24</v>
      </c>
      <c r="F334">
        <v>6577.5</v>
      </c>
      <c r="G334">
        <v>2192.5</v>
      </c>
      <c r="H334" s="8">
        <f>SUM(sales_data[[#This Row],[rand discount]]/sales_data[[#This Row],[total order total]])</f>
        <v>0.32943965957651417</v>
      </c>
      <c r="I334">
        <v>25</v>
      </c>
      <c r="J334">
        <v>77.739999999999995</v>
      </c>
      <c r="K334">
        <v>8770</v>
      </c>
      <c r="L334" t="b">
        <v>0</v>
      </c>
      <c r="M334" s="13">
        <v>1.1016999999999999</v>
      </c>
    </row>
    <row r="335" spans="1:13" x14ac:dyDescent="0.25">
      <c r="A335" s="2">
        <v>43825</v>
      </c>
      <c r="B335" s="1" t="s">
        <v>393</v>
      </c>
      <c r="C335" s="1" t="s">
        <v>394</v>
      </c>
      <c r="D335">
        <v>1</v>
      </c>
      <c r="E335">
        <v>7504.21</v>
      </c>
      <c r="F335">
        <v>7416.25</v>
      </c>
      <c r="G335">
        <v>1308.75</v>
      </c>
      <c r="H335" s="8">
        <f>SUM(sales_data[[#This Row],[rand discount]]/sales_data[[#This Row],[total order total]])</f>
        <v>0.17440210228658312</v>
      </c>
      <c r="I335">
        <v>15</v>
      </c>
      <c r="J335">
        <v>87.96</v>
      </c>
      <c r="K335">
        <v>8725</v>
      </c>
      <c r="L335" t="b">
        <v>1</v>
      </c>
      <c r="M335" s="13">
        <v>1.6087</v>
      </c>
    </row>
    <row r="336" spans="1:13" x14ac:dyDescent="0.25">
      <c r="A336" s="2">
        <v>43610</v>
      </c>
      <c r="B336" s="1" t="s">
        <v>635</v>
      </c>
      <c r="C336" s="1" t="s">
        <v>636</v>
      </c>
      <c r="D336">
        <v>2</v>
      </c>
      <c r="E336">
        <v>7483.11</v>
      </c>
      <c r="F336">
        <v>7416.25</v>
      </c>
      <c r="G336">
        <v>1308.75</v>
      </c>
      <c r="H336" s="8">
        <f>SUM(sales_data[[#This Row],[rand discount]]/sales_data[[#This Row],[total order total]])</f>
        <v>0.17489386097491552</v>
      </c>
      <c r="I336">
        <v>15</v>
      </c>
      <c r="J336">
        <v>66.86</v>
      </c>
      <c r="K336">
        <v>8725</v>
      </c>
      <c r="L336" t="b">
        <v>0</v>
      </c>
      <c r="M336" s="13">
        <v>0.72370000000000001</v>
      </c>
    </row>
    <row r="337" spans="1:13" x14ac:dyDescent="0.25">
      <c r="A337" s="2">
        <v>43733</v>
      </c>
      <c r="B337" s="1" t="s">
        <v>357</v>
      </c>
      <c r="C337" s="1" t="s">
        <v>358</v>
      </c>
      <c r="D337">
        <v>2</v>
      </c>
      <c r="E337">
        <v>8752.93</v>
      </c>
      <c r="F337">
        <v>8670</v>
      </c>
      <c r="G337">
        <v>0</v>
      </c>
      <c r="H337" s="8">
        <f>SUM(sales_data[[#This Row],[rand discount]]/sales_data[[#This Row],[total order total]])</f>
        <v>0</v>
      </c>
      <c r="I337">
        <v>0</v>
      </c>
      <c r="J337">
        <v>82.93</v>
      </c>
      <c r="K337">
        <v>8670</v>
      </c>
      <c r="L337" t="b">
        <v>0</v>
      </c>
      <c r="M337" s="13">
        <v>1.6657</v>
      </c>
    </row>
    <row r="338" spans="1:13" x14ac:dyDescent="0.25">
      <c r="A338" s="2">
        <v>43636</v>
      </c>
      <c r="B338" s="1" t="s">
        <v>397</v>
      </c>
      <c r="C338" s="1" t="s">
        <v>398</v>
      </c>
      <c r="D338">
        <v>2</v>
      </c>
      <c r="E338">
        <v>8745.7800000000007</v>
      </c>
      <c r="F338">
        <v>8670</v>
      </c>
      <c r="G338">
        <v>0</v>
      </c>
      <c r="H338" s="8">
        <f>SUM(sales_data[[#This Row],[rand discount]]/sales_data[[#This Row],[total order total]])</f>
        <v>0</v>
      </c>
      <c r="I338">
        <v>0</v>
      </c>
      <c r="J338">
        <v>75.78</v>
      </c>
      <c r="K338">
        <v>8670</v>
      </c>
      <c r="L338" t="b">
        <v>1</v>
      </c>
      <c r="M338" s="13">
        <v>0.78200000000000003</v>
      </c>
    </row>
    <row r="339" spans="1:13" x14ac:dyDescent="0.25">
      <c r="A339" s="2">
        <v>43528</v>
      </c>
      <c r="B339" s="1" t="s">
        <v>307</v>
      </c>
      <c r="C339" s="1" t="s">
        <v>308</v>
      </c>
      <c r="D339">
        <v>3</v>
      </c>
      <c r="E339">
        <v>6541.61</v>
      </c>
      <c r="F339">
        <v>6476.25</v>
      </c>
      <c r="G339">
        <v>2158.75</v>
      </c>
      <c r="H339" s="8">
        <f>SUM(sales_data[[#This Row],[rand discount]]/sales_data[[#This Row],[total order total]])</f>
        <v>0.33000285862348872</v>
      </c>
      <c r="I339">
        <v>25</v>
      </c>
      <c r="J339">
        <v>65.36</v>
      </c>
      <c r="K339">
        <v>8635</v>
      </c>
      <c r="L339" t="b">
        <v>0</v>
      </c>
      <c r="M339" s="13">
        <v>1.0955999999999999</v>
      </c>
    </row>
    <row r="340" spans="1:13" x14ac:dyDescent="0.25">
      <c r="A340" s="2">
        <v>43493</v>
      </c>
      <c r="B340" s="1" t="s">
        <v>647</v>
      </c>
      <c r="C340" s="1" t="s">
        <v>648</v>
      </c>
      <c r="D340">
        <v>2</v>
      </c>
      <c r="E340">
        <v>7858.54</v>
      </c>
      <c r="F340">
        <v>7767</v>
      </c>
      <c r="G340">
        <v>863</v>
      </c>
      <c r="H340" s="8">
        <f>SUM(sales_data[[#This Row],[rand discount]]/sales_data[[#This Row],[total order total]])</f>
        <v>0.10981683620621642</v>
      </c>
      <c r="I340">
        <v>10</v>
      </c>
      <c r="J340">
        <v>91.54</v>
      </c>
      <c r="K340">
        <v>8630</v>
      </c>
      <c r="L340" t="b">
        <v>1</v>
      </c>
      <c r="M340" s="13">
        <v>0.75119999999999998</v>
      </c>
    </row>
    <row r="341" spans="1:13" x14ac:dyDescent="0.25">
      <c r="A341" s="2">
        <v>43537</v>
      </c>
      <c r="B341" s="1" t="s">
        <v>97</v>
      </c>
      <c r="C341" s="1" t="s">
        <v>98</v>
      </c>
      <c r="D341">
        <v>2</v>
      </c>
      <c r="E341">
        <v>8131.57</v>
      </c>
      <c r="F341">
        <v>8065.5</v>
      </c>
      <c r="G341">
        <v>424.5</v>
      </c>
      <c r="H341" s="8">
        <f>SUM(sales_data[[#This Row],[rand discount]]/sales_data[[#This Row],[total order total]])</f>
        <v>5.2203940936375141E-2</v>
      </c>
      <c r="I341">
        <v>5</v>
      </c>
      <c r="J341">
        <v>66.069999999999993</v>
      </c>
      <c r="K341">
        <v>8490</v>
      </c>
      <c r="L341" t="b">
        <v>0</v>
      </c>
      <c r="M341" s="13">
        <v>0.81820000000000004</v>
      </c>
    </row>
    <row r="342" spans="1:13" x14ac:dyDescent="0.25">
      <c r="A342" s="2">
        <v>43750</v>
      </c>
      <c r="B342" s="1" t="s">
        <v>295</v>
      </c>
      <c r="C342" s="1" t="s">
        <v>296</v>
      </c>
      <c r="D342">
        <v>1</v>
      </c>
      <c r="E342">
        <v>6263.26</v>
      </c>
      <c r="F342">
        <v>6180</v>
      </c>
      <c r="G342">
        <v>2060</v>
      </c>
      <c r="H342" s="8">
        <f>SUM(sales_data[[#This Row],[rand discount]]/sales_data[[#This Row],[total order total]])</f>
        <v>0.3289022010901671</v>
      </c>
      <c r="I342">
        <v>25</v>
      </c>
      <c r="J342">
        <v>83.26</v>
      </c>
      <c r="K342">
        <v>8240</v>
      </c>
      <c r="L342" t="b">
        <v>0</v>
      </c>
      <c r="M342" s="13">
        <v>1.7901</v>
      </c>
    </row>
    <row r="343" spans="1:13" x14ac:dyDescent="0.25">
      <c r="A343" s="2">
        <v>43818</v>
      </c>
      <c r="B343" s="1" t="s">
        <v>101</v>
      </c>
      <c r="C343" s="1" t="s">
        <v>102</v>
      </c>
      <c r="D343">
        <v>1</v>
      </c>
      <c r="E343">
        <v>7446.01</v>
      </c>
      <c r="F343">
        <v>7380</v>
      </c>
      <c r="G343">
        <v>820</v>
      </c>
      <c r="H343" s="8">
        <f>SUM(sales_data[[#This Row],[rand discount]]/sales_data[[#This Row],[total order total]])</f>
        <v>0.11012609437806288</v>
      </c>
      <c r="I343">
        <v>10</v>
      </c>
      <c r="J343">
        <v>66.010000000000005</v>
      </c>
      <c r="K343">
        <v>8200</v>
      </c>
      <c r="L343" t="b">
        <v>0</v>
      </c>
      <c r="M343" s="13">
        <v>1.5218</v>
      </c>
    </row>
    <row r="344" spans="1:13" x14ac:dyDescent="0.25">
      <c r="A344" s="2">
        <v>43731</v>
      </c>
      <c r="B344" s="1" t="s">
        <v>345</v>
      </c>
      <c r="C344" s="1" t="s">
        <v>346</v>
      </c>
      <c r="D344">
        <v>2</v>
      </c>
      <c r="E344">
        <v>7038.89</v>
      </c>
      <c r="F344">
        <v>6936</v>
      </c>
      <c r="G344">
        <v>1224</v>
      </c>
      <c r="H344" s="8">
        <f>SUM(sales_data[[#This Row],[rand discount]]/sales_data[[#This Row],[total order total]])</f>
        <v>0.17389105384513751</v>
      </c>
      <c r="I344">
        <v>15</v>
      </c>
      <c r="J344">
        <v>102.89</v>
      </c>
      <c r="K344">
        <v>8160</v>
      </c>
      <c r="L344" t="b">
        <v>1</v>
      </c>
      <c r="M344" s="13">
        <v>0.86209999999999998</v>
      </c>
    </row>
    <row r="345" spans="1:13" x14ac:dyDescent="0.25">
      <c r="A345" s="2">
        <v>43695</v>
      </c>
      <c r="B345" s="1" t="s">
        <v>957</v>
      </c>
      <c r="C345" s="1" t="s">
        <v>958</v>
      </c>
      <c r="D345">
        <v>2</v>
      </c>
      <c r="E345">
        <v>8211.86</v>
      </c>
      <c r="F345">
        <v>8135</v>
      </c>
      <c r="G345">
        <v>0</v>
      </c>
      <c r="H345" s="8">
        <f>SUM(sales_data[[#This Row],[rand discount]]/sales_data[[#This Row],[total order total]])</f>
        <v>0</v>
      </c>
      <c r="I345">
        <v>0</v>
      </c>
      <c r="J345">
        <v>76.86</v>
      </c>
      <c r="K345">
        <v>8135</v>
      </c>
      <c r="L345" t="b">
        <v>1</v>
      </c>
      <c r="M345" s="13">
        <v>0.6583</v>
      </c>
    </row>
    <row r="346" spans="1:13" x14ac:dyDescent="0.25">
      <c r="A346" s="2">
        <v>43526</v>
      </c>
      <c r="B346" s="1" t="s">
        <v>335</v>
      </c>
      <c r="C346" s="1" t="s">
        <v>336</v>
      </c>
      <c r="D346">
        <v>2</v>
      </c>
      <c r="E346">
        <v>7393.24</v>
      </c>
      <c r="F346">
        <v>7312.5</v>
      </c>
      <c r="G346">
        <v>812.5</v>
      </c>
      <c r="H346" s="8">
        <f>SUM(sales_data[[#This Row],[rand discount]]/sales_data[[#This Row],[total order total]])</f>
        <v>0.10989769032251084</v>
      </c>
      <c r="I346">
        <v>10</v>
      </c>
      <c r="J346">
        <v>80.739999999999995</v>
      </c>
      <c r="K346">
        <v>8125</v>
      </c>
      <c r="L346" t="b">
        <v>1</v>
      </c>
      <c r="M346" s="13">
        <v>0.91269999999999996</v>
      </c>
    </row>
    <row r="347" spans="1:13" x14ac:dyDescent="0.25">
      <c r="A347" s="2">
        <v>43694</v>
      </c>
      <c r="B347" s="1" t="s">
        <v>969</v>
      </c>
      <c r="C347" s="1" t="s">
        <v>970</v>
      </c>
      <c r="D347">
        <v>3</v>
      </c>
      <c r="E347">
        <v>7783.04</v>
      </c>
      <c r="F347">
        <v>7704.5</v>
      </c>
      <c r="G347">
        <v>405.5</v>
      </c>
      <c r="H347" s="8">
        <f>SUM(sales_data[[#This Row],[rand discount]]/sales_data[[#This Row],[total order total]])</f>
        <v>5.2100464599950665E-2</v>
      </c>
      <c r="I347">
        <v>5</v>
      </c>
      <c r="J347">
        <v>78.540000000000006</v>
      </c>
      <c r="K347">
        <v>8110</v>
      </c>
      <c r="L347" t="b">
        <v>1</v>
      </c>
      <c r="M347" s="13">
        <v>1.2278</v>
      </c>
    </row>
    <row r="348" spans="1:13" x14ac:dyDescent="0.25">
      <c r="A348" s="2">
        <v>43690</v>
      </c>
      <c r="B348" s="1" t="s">
        <v>776</v>
      </c>
      <c r="C348" s="1" t="s">
        <v>777</v>
      </c>
      <c r="D348">
        <v>2</v>
      </c>
      <c r="E348">
        <v>6950.05</v>
      </c>
      <c r="F348">
        <v>6872.25</v>
      </c>
      <c r="G348">
        <v>1212.75</v>
      </c>
      <c r="H348" s="8">
        <f>SUM(sales_data[[#This Row],[rand discount]]/sales_data[[#This Row],[total order total]])</f>
        <v>0.17449514751692433</v>
      </c>
      <c r="I348">
        <v>15</v>
      </c>
      <c r="J348">
        <v>77.8</v>
      </c>
      <c r="K348">
        <v>8085</v>
      </c>
      <c r="L348" t="b">
        <v>1</v>
      </c>
      <c r="M348" s="13">
        <v>0.88849999999999996</v>
      </c>
    </row>
    <row r="349" spans="1:13" x14ac:dyDescent="0.25">
      <c r="A349" s="2">
        <v>43478</v>
      </c>
      <c r="B349" s="1" t="s">
        <v>371</v>
      </c>
      <c r="C349" s="1" t="s">
        <v>372</v>
      </c>
      <c r="D349">
        <v>3</v>
      </c>
      <c r="E349">
        <v>8143.19</v>
      </c>
      <c r="F349">
        <v>8070</v>
      </c>
      <c r="G349">
        <v>0</v>
      </c>
      <c r="H349" s="8">
        <f>SUM(sales_data[[#This Row],[rand discount]]/sales_data[[#This Row],[total order total]])</f>
        <v>0</v>
      </c>
      <c r="I349">
        <v>0</v>
      </c>
      <c r="J349">
        <v>73.19</v>
      </c>
      <c r="K349">
        <v>8070</v>
      </c>
      <c r="L349" t="b">
        <v>0</v>
      </c>
      <c r="M349" s="13">
        <v>0.95940000000000003</v>
      </c>
    </row>
    <row r="350" spans="1:13" x14ac:dyDescent="0.25">
      <c r="A350" s="2">
        <v>43608</v>
      </c>
      <c r="B350" s="1" t="s">
        <v>24</v>
      </c>
      <c r="C350" s="1" t="s">
        <v>25</v>
      </c>
      <c r="D350">
        <v>1</v>
      </c>
      <c r="E350">
        <v>7614.28</v>
      </c>
      <c r="F350">
        <v>7562</v>
      </c>
      <c r="G350">
        <v>398</v>
      </c>
      <c r="H350" s="8">
        <f>SUM(sales_data[[#This Row],[rand discount]]/sales_data[[#This Row],[total order total]])</f>
        <v>5.2270208082707756E-2</v>
      </c>
      <c r="I350">
        <v>5</v>
      </c>
      <c r="J350">
        <v>52.28</v>
      </c>
      <c r="K350">
        <v>7960</v>
      </c>
      <c r="L350" t="b">
        <v>0</v>
      </c>
      <c r="M350" s="13">
        <v>1.3043</v>
      </c>
    </row>
    <row r="351" spans="1:13" x14ac:dyDescent="0.25">
      <c r="A351" s="2">
        <v>43583</v>
      </c>
      <c r="B351" s="1" t="s">
        <v>714</v>
      </c>
      <c r="C351" s="1" t="s">
        <v>715</v>
      </c>
      <c r="D351">
        <v>1</v>
      </c>
      <c r="E351">
        <v>5983.15</v>
      </c>
      <c r="F351">
        <v>5932.5</v>
      </c>
      <c r="G351">
        <v>1977.5</v>
      </c>
      <c r="H351" s="8">
        <f>SUM(sales_data[[#This Row],[rand discount]]/sales_data[[#This Row],[total order total]])</f>
        <v>0.33051151985158322</v>
      </c>
      <c r="I351">
        <v>25</v>
      </c>
      <c r="J351">
        <v>50.65</v>
      </c>
      <c r="K351">
        <v>7910</v>
      </c>
      <c r="L351" t="b">
        <v>0</v>
      </c>
      <c r="M351" s="13">
        <v>0.95120000000000005</v>
      </c>
    </row>
    <row r="352" spans="1:13" x14ac:dyDescent="0.25">
      <c r="A352" s="2">
        <v>43612</v>
      </c>
      <c r="B352" s="1" t="s">
        <v>111</v>
      </c>
      <c r="C352" s="1" t="s">
        <v>112</v>
      </c>
      <c r="D352">
        <v>2</v>
      </c>
      <c r="E352">
        <v>7977.82</v>
      </c>
      <c r="F352">
        <v>7900</v>
      </c>
      <c r="G352">
        <v>0</v>
      </c>
      <c r="H352" s="8">
        <f>SUM(sales_data[[#This Row],[rand discount]]/sales_data[[#This Row],[total order total]])</f>
        <v>0</v>
      </c>
      <c r="I352">
        <v>0</v>
      </c>
      <c r="J352">
        <v>77.819999999999993</v>
      </c>
      <c r="K352">
        <v>7900</v>
      </c>
      <c r="L352" t="b">
        <v>1</v>
      </c>
      <c r="M352" s="13">
        <v>0.623</v>
      </c>
    </row>
    <row r="353" spans="1:13" x14ac:dyDescent="0.25">
      <c r="A353" s="2">
        <v>43785</v>
      </c>
      <c r="B353" s="1" t="s">
        <v>923</v>
      </c>
      <c r="C353" s="1" t="s">
        <v>924</v>
      </c>
      <c r="D353">
        <v>3</v>
      </c>
      <c r="E353">
        <v>7174.81</v>
      </c>
      <c r="F353">
        <v>7110</v>
      </c>
      <c r="G353">
        <v>790</v>
      </c>
      <c r="H353" s="8">
        <f>SUM(sales_data[[#This Row],[rand discount]]/sales_data[[#This Row],[total order total]])</f>
        <v>0.11010744535395361</v>
      </c>
      <c r="I353">
        <v>10</v>
      </c>
      <c r="J353">
        <v>64.81</v>
      </c>
      <c r="K353">
        <v>7900</v>
      </c>
      <c r="L353" t="b">
        <v>0</v>
      </c>
      <c r="M353" s="13">
        <v>1.0661</v>
      </c>
    </row>
    <row r="354" spans="1:13" x14ac:dyDescent="0.25">
      <c r="A354" s="2">
        <v>43581</v>
      </c>
      <c r="B354" s="1" t="s">
        <v>74</v>
      </c>
      <c r="C354" s="1" t="s">
        <v>75</v>
      </c>
      <c r="D354">
        <v>3</v>
      </c>
      <c r="E354">
        <v>7900.74</v>
      </c>
      <c r="F354">
        <v>7830</v>
      </c>
      <c r="G354">
        <v>0</v>
      </c>
      <c r="H354" s="8">
        <f>SUM(sales_data[[#This Row],[rand discount]]/sales_data[[#This Row],[total order total]])</f>
        <v>0</v>
      </c>
      <c r="I354">
        <v>0</v>
      </c>
      <c r="J354">
        <v>70.739999999999995</v>
      </c>
      <c r="K354">
        <v>7830</v>
      </c>
      <c r="L354" t="b">
        <v>1</v>
      </c>
      <c r="M354" s="13">
        <v>2.5592000000000001</v>
      </c>
    </row>
    <row r="355" spans="1:13" x14ac:dyDescent="0.25">
      <c r="A355" s="2">
        <v>43724</v>
      </c>
      <c r="B355" s="1" t="s">
        <v>19</v>
      </c>
      <c r="C355" s="1" t="s">
        <v>20</v>
      </c>
      <c r="D355">
        <v>3</v>
      </c>
      <c r="E355">
        <v>7100.22</v>
      </c>
      <c r="F355">
        <v>7029</v>
      </c>
      <c r="G355">
        <v>781</v>
      </c>
      <c r="H355" s="8">
        <f>SUM(sales_data[[#This Row],[rand discount]]/sales_data[[#This Row],[total order total]])</f>
        <v>0.10999659165490647</v>
      </c>
      <c r="I355">
        <v>10</v>
      </c>
      <c r="J355">
        <v>71.22</v>
      </c>
      <c r="K355">
        <v>7810</v>
      </c>
      <c r="L355" t="b">
        <v>0</v>
      </c>
      <c r="M355" s="13">
        <v>2.0752000000000002</v>
      </c>
    </row>
    <row r="356" spans="1:13" x14ac:dyDescent="0.25">
      <c r="A356" s="2">
        <v>43615</v>
      </c>
      <c r="B356" s="1" t="s">
        <v>131</v>
      </c>
      <c r="C356" s="1" t="s">
        <v>132</v>
      </c>
      <c r="D356">
        <v>1</v>
      </c>
      <c r="E356">
        <v>7036.6</v>
      </c>
      <c r="F356">
        <v>6984</v>
      </c>
      <c r="G356">
        <v>776</v>
      </c>
      <c r="H356" s="8">
        <f>SUM(sales_data[[#This Row],[rand discount]]/sales_data[[#This Row],[total order total]])</f>
        <v>0.11028053321206263</v>
      </c>
      <c r="I356">
        <v>10</v>
      </c>
      <c r="J356">
        <v>52.6</v>
      </c>
      <c r="K356">
        <v>7760</v>
      </c>
      <c r="L356" t="b">
        <v>0</v>
      </c>
      <c r="M356" s="13">
        <v>1.3344</v>
      </c>
    </row>
    <row r="357" spans="1:13" x14ac:dyDescent="0.25">
      <c r="A357" s="2">
        <v>43545</v>
      </c>
      <c r="B357" s="1" t="s">
        <v>499</v>
      </c>
      <c r="C357" s="1" t="s">
        <v>500</v>
      </c>
      <c r="D357">
        <v>3</v>
      </c>
      <c r="E357">
        <v>7839.46</v>
      </c>
      <c r="F357">
        <v>7760</v>
      </c>
      <c r="G357">
        <v>0</v>
      </c>
      <c r="H357" s="8">
        <f>SUM(sales_data[[#This Row],[rand discount]]/sales_data[[#This Row],[total order total]])</f>
        <v>0</v>
      </c>
      <c r="I357">
        <v>0</v>
      </c>
      <c r="J357">
        <v>79.459999999999994</v>
      </c>
      <c r="K357">
        <v>7760</v>
      </c>
      <c r="L357" t="b">
        <v>1</v>
      </c>
      <c r="M357" s="13">
        <v>0.92090000000000005</v>
      </c>
    </row>
    <row r="358" spans="1:13" x14ac:dyDescent="0.25">
      <c r="A358" s="2">
        <v>43565</v>
      </c>
      <c r="B358" s="1" t="s">
        <v>565</v>
      </c>
      <c r="C358" s="1" t="s">
        <v>566</v>
      </c>
      <c r="D358">
        <v>1</v>
      </c>
      <c r="E358">
        <v>7448.34</v>
      </c>
      <c r="F358">
        <v>7372</v>
      </c>
      <c r="G358">
        <v>388</v>
      </c>
      <c r="H358" s="8">
        <f>SUM(sales_data[[#This Row],[rand discount]]/sales_data[[#This Row],[total order total]])</f>
        <v>5.2092144021352406E-2</v>
      </c>
      <c r="I358">
        <v>5</v>
      </c>
      <c r="J358">
        <v>76.34</v>
      </c>
      <c r="K358">
        <v>7760</v>
      </c>
      <c r="L358" t="b">
        <v>1</v>
      </c>
      <c r="M358" s="13">
        <v>0.17019999999999999</v>
      </c>
    </row>
    <row r="359" spans="1:13" x14ac:dyDescent="0.25">
      <c r="A359" s="2">
        <v>43575</v>
      </c>
      <c r="B359" s="1" t="s">
        <v>905</v>
      </c>
      <c r="C359" s="1" t="s">
        <v>906</v>
      </c>
      <c r="D359">
        <v>2</v>
      </c>
      <c r="E359">
        <v>6662.04</v>
      </c>
      <c r="F359">
        <v>6596</v>
      </c>
      <c r="G359">
        <v>1164</v>
      </c>
      <c r="H359" s="8">
        <f>SUM(sales_data[[#This Row],[rand discount]]/sales_data[[#This Row],[total order total]])</f>
        <v>0.17472125655204712</v>
      </c>
      <c r="I359">
        <v>15</v>
      </c>
      <c r="J359">
        <v>66.040000000000006</v>
      </c>
      <c r="K359">
        <v>7760</v>
      </c>
      <c r="L359" t="b">
        <v>0</v>
      </c>
      <c r="M359" s="13">
        <v>1.536</v>
      </c>
    </row>
    <row r="360" spans="1:13" x14ac:dyDescent="0.25">
      <c r="A360" s="2">
        <v>43563</v>
      </c>
      <c r="B360" s="1" t="s">
        <v>517</v>
      </c>
      <c r="C360" s="1" t="s">
        <v>518</v>
      </c>
      <c r="D360">
        <v>2</v>
      </c>
      <c r="E360">
        <v>7017.78</v>
      </c>
      <c r="F360">
        <v>6952.5</v>
      </c>
      <c r="G360">
        <v>772.5</v>
      </c>
      <c r="H360" s="8">
        <f>SUM(sales_data[[#This Row],[rand discount]]/sales_data[[#This Row],[total order total]])</f>
        <v>0.11007754589058079</v>
      </c>
      <c r="I360">
        <v>10</v>
      </c>
      <c r="J360">
        <v>65.28</v>
      </c>
      <c r="K360">
        <v>7725</v>
      </c>
      <c r="L360" t="b">
        <v>0</v>
      </c>
      <c r="M360" s="13">
        <v>0.47849999999999998</v>
      </c>
    </row>
    <row r="361" spans="1:13" x14ac:dyDescent="0.25">
      <c r="A361" s="2">
        <v>43487</v>
      </c>
      <c r="B361" s="1" t="s">
        <v>837</v>
      </c>
      <c r="C361" s="1" t="s">
        <v>838</v>
      </c>
      <c r="D361">
        <v>1</v>
      </c>
      <c r="E361">
        <v>5887.94</v>
      </c>
      <c r="F361">
        <v>5793.75</v>
      </c>
      <c r="G361">
        <v>1931.25</v>
      </c>
      <c r="H361" s="8">
        <f>SUM(sales_data[[#This Row],[rand discount]]/sales_data[[#This Row],[total order total]])</f>
        <v>0.3280009646837434</v>
      </c>
      <c r="I361">
        <v>25</v>
      </c>
      <c r="J361">
        <v>94.19</v>
      </c>
      <c r="K361">
        <v>7725</v>
      </c>
      <c r="L361" t="b">
        <v>1</v>
      </c>
      <c r="M361" s="13">
        <v>0.84470000000000001</v>
      </c>
    </row>
    <row r="362" spans="1:13" x14ac:dyDescent="0.25">
      <c r="A362" s="2">
        <v>43671</v>
      </c>
      <c r="B362" s="1" t="s">
        <v>369</v>
      </c>
      <c r="C362" s="1" t="s">
        <v>370</v>
      </c>
      <c r="D362">
        <v>1</v>
      </c>
      <c r="E362">
        <v>6482.94</v>
      </c>
      <c r="F362">
        <v>6417.5</v>
      </c>
      <c r="G362">
        <v>1132.5</v>
      </c>
      <c r="H362" s="8">
        <f>SUM(sales_data[[#This Row],[rand discount]]/sales_data[[#This Row],[total order total]])</f>
        <v>0.17468926135364513</v>
      </c>
      <c r="I362">
        <v>15</v>
      </c>
      <c r="J362">
        <v>65.44</v>
      </c>
      <c r="K362">
        <v>7550</v>
      </c>
      <c r="L362" t="b">
        <v>0</v>
      </c>
      <c r="M362" s="13">
        <v>0.82820000000000005</v>
      </c>
    </row>
    <row r="363" spans="1:13" x14ac:dyDescent="0.25">
      <c r="A363" s="2">
        <v>43532</v>
      </c>
      <c r="B363" s="1" t="s">
        <v>91</v>
      </c>
      <c r="C363" s="1" t="s">
        <v>92</v>
      </c>
      <c r="D363">
        <v>1</v>
      </c>
      <c r="E363">
        <v>5717.79</v>
      </c>
      <c r="F363">
        <v>5651.25</v>
      </c>
      <c r="G363">
        <v>1883.75</v>
      </c>
      <c r="H363" s="8">
        <f>SUM(sales_data[[#This Row],[rand discount]]/sales_data[[#This Row],[total order total]])</f>
        <v>0.32945421220436566</v>
      </c>
      <c r="I363">
        <v>25</v>
      </c>
      <c r="J363">
        <v>66.540000000000006</v>
      </c>
      <c r="K363">
        <v>7535</v>
      </c>
      <c r="L363" t="b">
        <v>0</v>
      </c>
      <c r="M363" s="13">
        <v>1.1956</v>
      </c>
    </row>
    <row r="364" spans="1:13" x14ac:dyDescent="0.25">
      <c r="A364" s="2">
        <v>43800</v>
      </c>
      <c r="B364" s="1" t="s">
        <v>808</v>
      </c>
      <c r="C364" s="1" t="s">
        <v>490</v>
      </c>
      <c r="D364">
        <v>2</v>
      </c>
      <c r="E364">
        <v>7231.45</v>
      </c>
      <c r="F364">
        <v>7158.25</v>
      </c>
      <c r="G364">
        <v>376.75</v>
      </c>
      <c r="H364" s="8">
        <f>SUM(sales_data[[#This Row],[rand discount]]/sales_data[[#This Row],[total order total]])</f>
        <v>5.2098818355931387E-2</v>
      </c>
      <c r="I364">
        <v>5</v>
      </c>
      <c r="J364">
        <v>73.2</v>
      </c>
      <c r="K364">
        <v>7535</v>
      </c>
      <c r="L364" t="b">
        <v>0</v>
      </c>
      <c r="M364" s="13">
        <v>0.85960000000000003</v>
      </c>
    </row>
    <row r="365" spans="1:13" x14ac:dyDescent="0.25">
      <c r="A365" s="2">
        <v>43764</v>
      </c>
      <c r="B365" s="1" t="s">
        <v>866</v>
      </c>
      <c r="C365" s="1" t="s">
        <v>867</v>
      </c>
      <c r="D365">
        <v>3</v>
      </c>
      <c r="E365">
        <v>6510.61</v>
      </c>
      <c r="F365">
        <v>6404.75</v>
      </c>
      <c r="G365">
        <v>1130.25</v>
      </c>
      <c r="H365" s="8">
        <f>SUM(sales_data[[#This Row],[rand discount]]/sales_data[[#This Row],[total order total]])</f>
        <v>0.17360124473743629</v>
      </c>
      <c r="I365">
        <v>15</v>
      </c>
      <c r="J365">
        <v>105.86</v>
      </c>
      <c r="K365">
        <v>7535</v>
      </c>
      <c r="L365" t="b">
        <v>1</v>
      </c>
      <c r="M365" s="13">
        <v>1.1225000000000001</v>
      </c>
    </row>
    <row r="366" spans="1:13" x14ac:dyDescent="0.25">
      <c r="A366" s="2">
        <v>43775</v>
      </c>
      <c r="B366" s="1" t="s">
        <v>774</v>
      </c>
      <c r="C366" s="1" t="s">
        <v>775</v>
      </c>
      <c r="D366">
        <v>2</v>
      </c>
      <c r="E366">
        <v>5713.99</v>
      </c>
      <c r="F366">
        <v>5617.5</v>
      </c>
      <c r="G366">
        <v>1872.5</v>
      </c>
      <c r="H366" s="8">
        <f>SUM(sales_data[[#This Row],[rand discount]]/sales_data[[#This Row],[total order total]])</f>
        <v>0.32770445870573806</v>
      </c>
      <c r="I366">
        <v>25</v>
      </c>
      <c r="J366">
        <v>96.49</v>
      </c>
      <c r="K366">
        <v>7490</v>
      </c>
      <c r="L366" t="b">
        <v>1</v>
      </c>
      <c r="M366" s="13">
        <v>0.2036</v>
      </c>
    </row>
    <row r="367" spans="1:13" x14ac:dyDescent="0.25">
      <c r="A367" s="2">
        <v>43722</v>
      </c>
      <c r="B367" s="1" t="s">
        <v>790</v>
      </c>
      <c r="C367" s="1" t="s">
        <v>791</v>
      </c>
      <c r="D367">
        <v>2</v>
      </c>
      <c r="E367">
        <v>6842.29</v>
      </c>
      <c r="F367">
        <v>6741</v>
      </c>
      <c r="G367">
        <v>749</v>
      </c>
      <c r="H367" s="8">
        <f>SUM(sales_data[[#This Row],[rand discount]]/sales_data[[#This Row],[total order total]])</f>
        <v>0.10946627517980091</v>
      </c>
      <c r="I367">
        <v>10</v>
      </c>
      <c r="J367">
        <v>101.29</v>
      </c>
      <c r="K367">
        <v>7490</v>
      </c>
      <c r="L367" t="b">
        <v>1</v>
      </c>
      <c r="M367" s="13">
        <v>0.71419999999999995</v>
      </c>
    </row>
    <row r="368" spans="1:13" x14ac:dyDescent="0.25">
      <c r="A368" s="2">
        <v>43731</v>
      </c>
      <c r="B368" s="1" t="s">
        <v>688</v>
      </c>
      <c r="C368" s="1" t="s">
        <v>689</v>
      </c>
      <c r="D368">
        <v>1</v>
      </c>
      <c r="E368">
        <v>5627.35</v>
      </c>
      <c r="F368">
        <v>5520</v>
      </c>
      <c r="G368">
        <v>1840</v>
      </c>
      <c r="H368" s="8">
        <f>SUM(sales_data[[#This Row],[rand discount]]/sales_data[[#This Row],[total order total]])</f>
        <v>0.32697450842759024</v>
      </c>
      <c r="I368">
        <v>25</v>
      </c>
      <c r="J368">
        <v>107.35</v>
      </c>
      <c r="K368">
        <v>7360</v>
      </c>
      <c r="L368" t="b">
        <v>1</v>
      </c>
      <c r="M368" s="13">
        <v>1.5853999999999999</v>
      </c>
    </row>
    <row r="369" spans="1:13" x14ac:dyDescent="0.25">
      <c r="A369" s="2">
        <v>43740</v>
      </c>
      <c r="B369" s="1" t="s">
        <v>800</v>
      </c>
      <c r="C369" s="1" t="s">
        <v>801</v>
      </c>
      <c r="D369">
        <v>2</v>
      </c>
      <c r="E369">
        <v>7067.28</v>
      </c>
      <c r="F369">
        <v>6992</v>
      </c>
      <c r="G369">
        <v>368</v>
      </c>
      <c r="H369" s="8">
        <f>SUM(sales_data[[#This Row],[rand discount]]/sales_data[[#This Row],[total order total]])</f>
        <v>5.2070952332439073E-2</v>
      </c>
      <c r="I369">
        <v>5</v>
      </c>
      <c r="J369">
        <v>75.28</v>
      </c>
      <c r="K369">
        <v>7360</v>
      </c>
      <c r="L369" t="b">
        <v>0</v>
      </c>
      <c r="M369" s="13">
        <v>0.52180000000000004</v>
      </c>
    </row>
    <row r="370" spans="1:13" x14ac:dyDescent="0.25">
      <c r="A370" s="2">
        <v>43563</v>
      </c>
      <c r="B370" s="1" t="s">
        <v>675</v>
      </c>
      <c r="C370" s="1" t="s">
        <v>676</v>
      </c>
      <c r="D370">
        <v>1</v>
      </c>
      <c r="E370">
        <v>7026.61</v>
      </c>
      <c r="F370">
        <v>6963.5</v>
      </c>
      <c r="G370">
        <v>366.5</v>
      </c>
      <c r="H370" s="8">
        <f>SUM(sales_data[[#This Row],[rand discount]]/sales_data[[#This Row],[total order total]])</f>
        <v>5.2158864658775714E-2</v>
      </c>
      <c r="I370">
        <v>5</v>
      </c>
      <c r="J370">
        <v>63.11</v>
      </c>
      <c r="K370">
        <v>7330</v>
      </c>
      <c r="L370" t="b">
        <v>0</v>
      </c>
      <c r="M370" s="13">
        <v>0.64119999999999999</v>
      </c>
    </row>
    <row r="371" spans="1:13" x14ac:dyDescent="0.25">
      <c r="A371" s="2">
        <v>43655</v>
      </c>
      <c r="B371" s="1" t="s">
        <v>465</v>
      </c>
      <c r="C371" s="1" t="s">
        <v>466</v>
      </c>
      <c r="D371">
        <v>1</v>
      </c>
      <c r="E371">
        <v>6545.82</v>
      </c>
      <c r="F371">
        <v>6480</v>
      </c>
      <c r="G371">
        <v>720</v>
      </c>
      <c r="H371" s="8">
        <f>SUM(sales_data[[#This Row],[rand discount]]/sales_data[[#This Row],[total order total]])</f>
        <v>0.10999385867622391</v>
      </c>
      <c r="I371">
        <v>10</v>
      </c>
      <c r="J371">
        <v>65.819999999999993</v>
      </c>
      <c r="K371">
        <v>7200</v>
      </c>
      <c r="L371" t="b">
        <v>0</v>
      </c>
      <c r="M371" s="13">
        <v>0.95440000000000003</v>
      </c>
    </row>
    <row r="372" spans="1:13" x14ac:dyDescent="0.25">
      <c r="A372" s="2">
        <v>43727</v>
      </c>
      <c r="B372" s="1" t="s">
        <v>665</v>
      </c>
      <c r="C372" s="1" t="s">
        <v>666</v>
      </c>
      <c r="D372">
        <v>1</v>
      </c>
      <c r="E372">
        <v>6180.64</v>
      </c>
      <c r="F372">
        <v>6120</v>
      </c>
      <c r="G372">
        <v>1080</v>
      </c>
      <c r="H372" s="8">
        <f>SUM(sales_data[[#This Row],[rand discount]]/sales_data[[#This Row],[total order total]])</f>
        <v>0.17473918558595872</v>
      </c>
      <c r="I372">
        <v>15</v>
      </c>
      <c r="J372">
        <v>60.64</v>
      </c>
      <c r="K372">
        <v>7200</v>
      </c>
      <c r="L372" t="b">
        <v>0</v>
      </c>
      <c r="M372" s="13">
        <v>0.7621</v>
      </c>
    </row>
    <row r="373" spans="1:13" x14ac:dyDescent="0.25">
      <c r="A373" s="2">
        <v>43548</v>
      </c>
      <c r="B373" s="1" t="s">
        <v>219</v>
      </c>
      <c r="C373" s="1" t="s">
        <v>220</v>
      </c>
      <c r="D373">
        <v>2</v>
      </c>
      <c r="E373">
        <v>7236.4</v>
      </c>
      <c r="F373">
        <v>7170</v>
      </c>
      <c r="G373">
        <v>0</v>
      </c>
      <c r="H373" s="8">
        <f>SUM(sales_data[[#This Row],[rand discount]]/sales_data[[#This Row],[total order total]])</f>
        <v>0</v>
      </c>
      <c r="I373">
        <v>0</v>
      </c>
      <c r="J373">
        <v>66.400000000000006</v>
      </c>
      <c r="K373">
        <v>7170</v>
      </c>
      <c r="L373" t="b">
        <v>0</v>
      </c>
      <c r="M373" s="13">
        <v>1.3255999999999999</v>
      </c>
    </row>
    <row r="374" spans="1:13" x14ac:dyDescent="0.25">
      <c r="A374" s="2">
        <v>43615</v>
      </c>
      <c r="B374" s="1" t="s">
        <v>857</v>
      </c>
      <c r="C374" s="1" t="s">
        <v>858</v>
      </c>
      <c r="D374">
        <v>3</v>
      </c>
      <c r="E374">
        <v>7191.55</v>
      </c>
      <c r="F374">
        <v>7110</v>
      </c>
      <c r="G374">
        <v>0</v>
      </c>
      <c r="H374" s="8">
        <f>SUM(sales_data[[#This Row],[rand discount]]/sales_data[[#This Row],[total order total]])</f>
        <v>0</v>
      </c>
      <c r="I374">
        <v>0</v>
      </c>
      <c r="J374">
        <v>81.55</v>
      </c>
      <c r="K374">
        <v>7110</v>
      </c>
      <c r="L374" t="b">
        <v>1</v>
      </c>
      <c r="M374" s="13">
        <v>1.1731</v>
      </c>
    </row>
    <row r="375" spans="1:13" x14ac:dyDescent="0.25">
      <c r="A375" s="2">
        <v>43764</v>
      </c>
      <c r="B375" s="1" t="s">
        <v>459</v>
      </c>
      <c r="C375" s="1" t="s">
        <v>460</v>
      </c>
      <c r="D375">
        <v>1</v>
      </c>
      <c r="E375">
        <v>6466.48</v>
      </c>
      <c r="F375">
        <v>6381</v>
      </c>
      <c r="G375">
        <v>709</v>
      </c>
      <c r="H375" s="8">
        <f>SUM(sales_data[[#This Row],[rand discount]]/sales_data[[#This Row],[total order total]])</f>
        <v>0.10964234019126326</v>
      </c>
      <c r="I375">
        <v>10</v>
      </c>
      <c r="J375">
        <v>85.48</v>
      </c>
      <c r="K375">
        <v>7090</v>
      </c>
      <c r="L375" t="b">
        <v>1</v>
      </c>
      <c r="M375" s="13">
        <v>0.58409999999999995</v>
      </c>
    </row>
    <row r="376" spans="1:13" x14ac:dyDescent="0.25">
      <c r="A376" s="2">
        <v>43704</v>
      </c>
      <c r="B376" s="1" t="s">
        <v>203</v>
      </c>
      <c r="C376" s="1" t="s">
        <v>204</v>
      </c>
      <c r="D376">
        <v>3</v>
      </c>
      <c r="E376">
        <v>5354.29</v>
      </c>
      <c r="F376">
        <v>5287.5</v>
      </c>
      <c r="G376">
        <v>1762.5</v>
      </c>
      <c r="H376" s="8">
        <f>SUM(sales_data[[#This Row],[rand discount]]/sales_data[[#This Row],[total order total]])</f>
        <v>0.32917529681806551</v>
      </c>
      <c r="I376">
        <v>25</v>
      </c>
      <c r="J376">
        <v>66.790000000000006</v>
      </c>
      <c r="K376">
        <v>7050</v>
      </c>
      <c r="L376" t="b">
        <v>1</v>
      </c>
      <c r="M376" s="13">
        <v>1.6625000000000001</v>
      </c>
    </row>
    <row r="377" spans="1:13" x14ac:dyDescent="0.25">
      <c r="A377" s="2">
        <v>43491</v>
      </c>
      <c r="B377" s="1" t="s">
        <v>643</v>
      </c>
      <c r="C377" s="1" t="s">
        <v>644</v>
      </c>
      <c r="D377">
        <v>1</v>
      </c>
      <c r="E377">
        <v>6419.5</v>
      </c>
      <c r="F377">
        <v>6345</v>
      </c>
      <c r="G377">
        <v>705</v>
      </c>
      <c r="H377" s="8">
        <f>SUM(sales_data[[#This Row],[rand discount]]/sales_data[[#This Row],[total order total]])</f>
        <v>0.10982163719915881</v>
      </c>
      <c r="I377">
        <v>10</v>
      </c>
      <c r="J377">
        <v>74.5</v>
      </c>
      <c r="K377">
        <v>7050</v>
      </c>
      <c r="L377" t="b">
        <v>1</v>
      </c>
      <c r="M377" s="13">
        <v>0.54069999999999996</v>
      </c>
    </row>
    <row r="378" spans="1:13" x14ac:dyDescent="0.25">
      <c r="A378" s="2">
        <v>43707</v>
      </c>
      <c r="B378" s="1" t="s">
        <v>698</v>
      </c>
      <c r="C378" s="1" t="s">
        <v>699</v>
      </c>
      <c r="D378">
        <v>2</v>
      </c>
      <c r="E378">
        <v>5353.71</v>
      </c>
      <c r="F378">
        <v>5287.5</v>
      </c>
      <c r="G378">
        <v>1762.5</v>
      </c>
      <c r="H378" s="8">
        <f>SUM(sales_data[[#This Row],[rand discount]]/sales_data[[#This Row],[total order total]])</f>
        <v>0.32921095838213127</v>
      </c>
      <c r="I378">
        <v>25</v>
      </c>
      <c r="J378">
        <v>66.209999999999994</v>
      </c>
      <c r="K378">
        <v>7050</v>
      </c>
      <c r="L378" t="b">
        <v>0</v>
      </c>
      <c r="M378" s="13">
        <v>1.2091000000000001</v>
      </c>
    </row>
    <row r="379" spans="1:13" x14ac:dyDescent="0.25">
      <c r="A379" s="2">
        <v>43552</v>
      </c>
      <c r="B379" s="1" t="s">
        <v>975</v>
      </c>
      <c r="C379" s="1" t="s">
        <v>976</v>
      </c>
      <c r="D379">
        <v>3</v>
      </c>
      <c r="E379">
        <v>6994.75</v>
      </c>
      <c r="F379">
        <v>6930</v>
      </c>
      <c r="G379">
        <v>0</v>
      </c>
      <c r="H379" s="8">
        <f>SUM(sales_data[[#This Row],[rand discount]]/sales_data[[#This Row],[total order total]])</f>
        <v>0</v>
      </c>
      <c r="I379">
        <v>0</v>
      </c>
      <c r="J379">
        <v>64.75</v>
      </c>
      <c r="K379">
        <v>6930</v>
      </c>
      <c r="L379" t="b">
        <v>1</v>
      </c>
      <c r="M379" s="13">
        <v>0.85899999999999999</v>
      </c>
    </row>
    <row r="380" spans="1:13" x14ac:dyDescent="0.25">
      <c r="A380" s="2">
        <v>43568</v>
      </c>
      <c r="B380" s="1" t="s">
        <v>229</v>
      </c>
      <c r="C380" s="1" t="s">
        <v>230</v>
      </c>
      <c r="D380">
        <v>1</v>
      </c>
      <c r="E380">
        <v>6642.96</v>
      </c>
      <c r="F380">
        <v>6564.5</v>
      </c>
      <c r="G380">
        <v>345.5</v>
      </c>
      <c r="H380" s="8">
        <f>SUM(sales_data[[#This Row],[rand discount]]/sales_data[[#This Row],[total order total]])</f>
        <v>5.2009947372857884E-2</v>
      </c>
      <c r="I380">
        <v>5</v>
      </c>
      <c r="J380">
        <v>78.459999999999994</v>
      </c>
      <c r="K380">
        <v>6910</v>
      </c>
      <c r="L380" t="b">
        <v>1</v>
      </c>
      <c r="M380" s="13">
        <v>0.70930000000000004</v>
      </c>
    </row>
    <row r="381" spans="1:13" x14ac:dyDescent="0.25">
      <c r="A381" s="2">
        <v>43793</v>
      </c>
      <c r="B381" s="1" t="s">
        <v>475</v>
      </c>
      <c r="C381" s="1" t="s">
        <v>476</v>
      </c>
      <c r="D381">
        <v>1</v>
      </c>
      <c r="E381">
        <v>6638.23</v>
      </c>
      <c r="F381">
        <v>6564.5</v>
      </c>
      <c r="G381">
        <v>345.5</v>
      </c>
      <c r="H381" s="8">
        <f>SUM(sales_data[[#This Row],[rand discount]]/sales_data[[#This Row],[total order total]])</f>
        <v>5.2047006506252422E-2</v>
      </c>
      <c r="I381">
        <v>5</v>
      </c>
      <c r="J381">
        <v>73.73</v>
      </c>
      <c r="K381">
        <v>6910</v>
      </c>
      <c r="L381" t="b">
        <v>0</v>
      </c>
      <c r="M381" s="13">
        <v>0.25019999999999998</v>
      </c>
    </row>
    <row r="382" spans="1:13" x14ac:dyDescent="0.25">
      <c r="A382" s="2">
        <v>43755</v>
      </c>
      <c r="B382" s="1" t="s">
        <v>503</v>
      </c>
      <c r="C382" s="1" t="s">
        <v>504</v>
      </c>
      <c r="D382">
        <v>2</v>
      </c>
      <c r="E382">
        <v>5270.95</v>
      </c>
      <c r="F382">
        <v>5182.5</v>
      </c>
      <c r="G382">
        <v>1727.5</v>
      </c>
      <c r="H382" s="8">
        <f>SUM(sales_data[[#This Row],[rand discount]]/sales_data[[#This Row],[total order total]])</f>
        <v>0.32773978125385367</v>
      </c>
      <c r="I382">
        <v>25</v>
      </c>
      <c r="J382">
        <v>88.45</v>
      </c>
      <c r="K382">
        <v>6910</v>
      </c>
      <c r="L382" t="b">
        <v>1</v>
      </c>
      <c r="M382" s="13">
        <v>1.1336999999999999</v>
      </c>
    </row>
    <row r="383" spans="1:13" x14ac:dyDescent="0.25">
      <c r="A383" s="2">
        <v>43487</v>
      </c>
      <c r="B383" s="1" t="s">
        <v>722</v>
      </c>
      <c r="C383" s="1" t="s">
        <v>723</v>
      </c>
      <c r="D383">
        <v>1</v>
      </c>
      <c r="E383">
        <v>6633.83</v>
      </c>
      <c r="F383">
        <v>6545.5</v>
      </c>
      <c r="G383">
        <v>344.5</v>
      </c>
      <c r="H383" s="8">
        <f>SUM(sales_data[[#This Row],[rand discount]]/sales_data[[#This Row],[total order total]])</f>
        <v>5.1930785081921005E-2</v>
      </c>
      <c r="I383">
        <v>5</v>
      </c>
      <c r="J383">
        <v>88.33</v>
      </c>
      <c r="K383">
        <v>6890</v>
      </c>
      <c r="L383" t="b">
        <v>1</v>
      </c>
      <c r="M383" s="13">
        <v>1.8718999999999999</v>
      </c>
    </row>
    <row r="384" spans="1:13" x14ac:dyDescent="0.25">
      <c r="A384" s="2">
        <v>43476</v>
      </c>
      <c r="B384" s="1" t="s">
        <v>921</v>
      </c>
      <c r="C384" s="1" t="s">
        <v>922</v>
      </c>
      <c r="D384">
        <v>1</v>
      </c>
      <c r="E384">
        <v>5931.25</v>
      </c>
      <c r="F384">
        <v>5835.25</v>
      </c>
      <c r="G384">
        <v>1029.75</v>
      </c>
      <c r="H384" s="8">
        <f>SUM(sales_data[[#This Row],[rand discount]]/sales_data[[#This Row],[total order total]])</f>
        <v>0.17361433087460484</v>
      </c>
      <c r="I384">
        <v>15</v>
      </c>
      <c r="J384">
        <v>96</v>
      </c>
      <c r="K384">
        <v>6865</v>
      </c>
      <c r="L384" t="b">
        <v>1</v>
      </c>
      <c r="M384" s="13">
        <v>1.3612</v>
      </c>
    </row>
    <row r="385" spans="1:13" x14ac:dyDescent="0.25">
      <c r="A385" s="2">
        <v>43510</v>
      </c>
      <c r="B385" s="1" t="s">
        <v>513</v>
      </c>
      <c r="C385" s="1" t="s">
        <v>514</v>
      </c>
      <c r="D385">
        <v>1</v>
      </c>
      <c r="E385">
        <v>6207.96</v>
      </c>
      <c r="F385">
        <v>6129</v>
      </c>
      <c r="G385">
        <v>681</v>
      </c>
      <c r="H385" s="8">
        <f>SUM(sales_data[[#This Row],[rand discount]]/sales_data[[#This Row],[total order total]])</f>
        <v>0.10969787176463766</v>
      </c>
      <c r="I385">
        <v>10</v>
      </c>
      <c r="J385">
        <v>78.959999999999994</v>
      </c>
      <c r="K385">
        <v>6810</v>
      </c>
      <c r="L385" t="b">
        <v>0</v>
      </c>
      <c r="M385" s="13">
        <v>1.4074</v>
      </c>
    </row>
    <row r="386" spans="1:13" x14ac:dyDescent="0.25">
      <c r="A386" s="2">
        <v>43662</v>
      </c>
      <c r="B386" s="1" t="s">
        <v>780</v>
      </c>
      <c r="C386" s="1" t="s">
        <v>781</v>
      </c>
      <c r="D386">
        <v>3</v>
      </c>
      <c r="E386">
        <v>5861.86</v>
      </c>
      <c r="F386">
        <v>5788.5</v>
      </c>
      <c r="G386">
        <v>1021.5</v>
      </c>
      <c r="H386" s="8">
        <f>SUM(sales_data[[#This Row],[rand discount]]/sales_data[[#This Row],[total order total]])</f>
        <v>0.17426209428406683</v>
      </c>
      <c r="I386">
        <v>15</v>
      </c>
      <c r="J386">
        <v>73.36</v>
      </c>
      <c r="K386">
        <v>6810</v>
      </c>
      <c r="L386" t="b">
        <v>0</v>
      </c>
      <c r="M386" s="13">
        <v>2.2444000000000002</v>
      </c>
    </row>
    <row r="387" spans="1:13" x14ac:dyDescent="0.25">
      <c r="A387" s="2">
        <v>43629</v>
      </c>
      <c r="B387" s="1" t="s">
        <v>804</v>
      </c>
      <c r="C387" s="1" t="s">
        <v>805</v>
      </c>
      <c r="D387">
        <v>2</v>
      </c>
      <c r="E387">
        <v>5851.89</v>
      </c>
      <c r="F387">
        <v>5780</v>
      </c>
      <c r="G387">
        <v>1020</v>
      </c>
      <c r="H387" s="8">
        <f>SUM(sales_data[[#This Row],[rand discount]]/sales_data[[#This Row],[total order total]])</f>
        <v>0.17430266119151247</v>
      </c>
      <c r="I387">
        <v>15</v>
      </c>
      <c r="J387">
        <v>71.89</v>
      </c>
      <c r="K387">
        <v>6800</v>
      </c>
      <c r="L387" t="b">
        <v>1</v>
      </c>
      <c r="M387" s="13">
        <v>0.1928</v>
      </c>
    </row>
    <row r="388" spans="1:13" x14ac:dyDescent="0.25">
      <c r="A388" s="2">
        <v>43722</v>
      </c>
      <c r="B388" s="1" t="s">
        <v>515</v>
      </c>
      <c r="C388" s="1" t="s">
        <v>516</v>
      </c>
      <c r="D388">
        <v>1</v>
      </c>
      <c r="E388">
        <v>5870.48</v>
      </c>
      <c r="F388">
        <v>5763</v>
      </c>
      <c r="G388">
        <v>1017</v>
      </c>
      <c r="H388" s="8">
        <f>SUM(sales_data[[#This Row],[rand discount]]/sales_data[[#This Row],[total order total]])</f>
        <v>0.17323966694375931</v>
      </c>
      <c r="I388">
        <v>15</v>
      </c>
      <c r="J388">
        <v>107.48</v>
      </c>
      <c r="K388">
        <v>6780</v>
      </c>
      <c r="L388" t="b">
        <v>1</v>
      </c>
      <c r="M388" s="13">
        <v>1.5201</v>
      </c>
    </row>
    <row r="389" spans="1:13" x14ac:dyDescent="0.25">
      <c r="A389" s="2">
        <v>43824</v>
      </c>
      <c r="B389" s="1" t="s">
        <v>669</v>
      </c>
      <c r="C389" s="1" t="s">
        <v>670</v>
      </c>
      <c r="D389">
        <v>1</v>
      </c>
      <c r="E389">
        <v>6855.54</v>
      </c>
      <c r="F389">
        <v>6780</v>
      </c>
      <c r="G389">
        <v>0</v>
      </c>
      <c r="H389" s="8">
        <f>SUM(sales_data[[#This Row],[rand discount]]/sales_data[[#This Row],[total order total]])</f>
        <v>0</v>
      </c>
      <c r="I389">
        <v>0</v>
      </c>
      <c r="J389">
        <v>75.540000000000006</v>
      </c>
      <c r="K389">
        <v>6780</v>
      </c>
      <c r="L389" t="b">
        <v>0</v>
      </c>
      <c r="M389" s="13">
        <v>0.93630000000000002</v>
      </c>
    </row>
    <row r="390" spans="1:13" x14ac:dyDescent="0.25">
      <c r="A390" s="2">
        <v>43725</v>
      </c>
      <c r="B390" s="1" t="s">
        <v>375</v>
      </c>
      <c r="C390" s="1" t="s">
        <v>376</v>
      </c>
      <c r="D390">
        <v>1</v>
      </c>
      <c r="E390">
        <v>6508.63</v>
      </c>
      <c r="F390">
        <v>6431.5</v>
      </c>
      <c r="G390">
        <v>338.5</v>
      </c>
      <c r="H390" s="8">
        <f>SUM(sales_data[[#This Row],[rand discount]]/sales_data[[#This Row],[total order total]])</f>
        <v>5.2007872624500087E-2</v>
      </c>
      <c r="I390">
        <v>5</v>
      </c>
      <c r="J390">
        <v>77.13</v>
      </c>
      <c r="K390">
        <v>6770</v>
      </c>
      <c r="L390" t="b">
        <v>0</v>
      </c>
      <c r="M390" s="13">
        <v>0.254</v>
      </c>
    </row>
    <row r="391" spans="1:13" x14ac:dyDescent="0.25">
      <c r="A391" s="2">
        <v>43473</v>
      </c>
      <c r="B391" s="1" t="s">
        <v>901</v>
      </c>
      <c r="C391" s="1" t="s">
        <v>902</v>
      </c>
      <c r="D391">
        <v>2</v>
      </c>
      <c r="E391">
        <v>6479.02</v>
      </c>
      <c r="F391">
        <v>6412.5</v>
      </c>
      <c r="G391">
        <v>337.5</v>
      </c>
      <c r="H391" s="8">
        <f>SUM(sales_data[[#This Row],[rand discount]]/sales_data[[#This Row],[total order total]])</f>
        <v>5.2091211325169542E-2</v>
      </c>
      <c r="I391">
        <v>5</v>
      </c>
      <c r="J391">
        <v>66.52</v>
      </c>
      <c r="K391">
        <v>6750</v>
      </c>
      <c r="L391" t="b">
        <v>0</v>
      </c>
      <c r="M391" s="13">
        <v>0.1542</v>
      </c>
    </row>
    <row r="392" spans="1:13" x14ac:dyDescent="0.25">
      <c r="A392" s="2">
        <v>43828</v>
      </c>
      <c r="B392" s="1" t="s">
        <v>413</v>
      </c>
      <c r="C392" s="1" t="s">
        <v>414</v>
      </c>
      <c r="D392">
        <v>1</v>
      </c>
      <c r="E392">
        <v>5149.1099999999997</v>
      </c>
      <c r="F392">
        <v>5055</v>
      </c>
      <c r="G392">
        <v>1685</v>
      </c>
      <c r="H392" s="8">
        <f>SUM(sales_data[[#This Row],[rand discount]]/sales_data[[#This Row],[total order total]])</f>
        <v>0.32724101835074415</v>
      </c>
      <c r="I392">
        <v>25</v>
      </c>
      <c r="J392">
        <v>94.11</v>
      </c>
      <c r="K392">
        <v>6740</v>
      </c>
      <c r="L392" t="b">
        <v>1</v>
      </c>
      <c r="M392" s="13">
        <v>1.0595000000000001</v>
      </c>
    </row>
    <row r="393" spans="1:13" x14ac:dyDescent="0.25">
      <c r="A393" s="2">
        <v>43617</v>
      </c>
      <c r="B393" s="1" t="s">
        <v>373</v>
      </c>
      <c r="C393" s="1" t="s">
        <v>374</v>
      </c>
      <c r="D393">
        <v>3</v>
      </c>
      <c r="E393">
        <v>5039.5</v>
      </c>
      <c r="F393">
        <v>4972.5</v>
      </c>
      <c r="G393">
        <v>1657.5</v>
      </c>
      <c r="H393" s="8">
        <f>SUM(sales_data[[#This Row],[rand discount]]/sales_data[[#This Row],[total order total]])</f>
        <v>0.32890167675364618</v>
      </c>
      <c r="I393">
        <v>25</v>
      </c>
      <c r="J393">
        <v>67</v>
      </c>
      <c r="K393">
        <v>6630</v>
      </c>
      <c r="L393" t="b">
        <v>0</v>
      </c>
      <c r="M393" s="13">
        <v>1.0303</v>
      </c>
    </row>
    <row r="394" spans="1:13" x14ac:dyDescent="0.25">
      <c r="A394" s="2">
        <v>43678</v>
      </c>
      <c r="B394" s="1" t="s">
        <v>772</v>
      </c>
      <c r="C394" s="1" t="s">
        <v>773</v>
      </c>
      <c r="D394">
        <v>1</v>
      </c>
      <c r="E394">
        <v>6018.2</v>
      </c>
      <c r="F394">
        <v>5967</v>
      </c>
      <c r="G394">
        <v>663</v>
      </c>
      <c r="H394" s="8">
        <f>SUM(sales_data[[#This Row],[rand discount]]/sales_data[[#This Row],[total order total]])</f>
        <v>0.11016583031471204</v>
      </c>
      <c r="I394">
        <v>10</v>
      </c>
      <c r="J394">
        <v>51.2</v>
      </c>
      <c r="K394">
        <v>6630</v>
      </c>
      <c r="L394" t="b">
        <v>0</v>
      </c>
      <c r="M394" s="13">
        <v>1.4214</v>
      </c>
    </row>
    <row r="395" spans="1:13" x14ac:dyDescent="0.25">
      <c r="A395" s="2">
        <v>43586</v>
      </c>
      <c r="B395" s="1" t="s">
        <v>987</v>
      </c>
      <c r="C395" s="1" t="s">
        <v>988</v>
      </c>
      <c r="D395">
        <v>3</v>
      </c>
      <c r="E395">
        <v>5056.58</v>
      </c>
      <c r="F395">
        <v>4972.5</v>
      </c>
      <c r="G395">
        <v>1657.5</v>
      </c>
      <c r="H395" s="8">
        <f>SUM(sales_data[[#This Row],[rand discount]]/sales_data[[#This Row],[total order total]])</f>
        <v>0.32779072021010247</v>
      </c>
      <c r="I395">
        <v>25</v>
      </c>
      <c r="J395">
        <v>84.08</v>
      </c>
      <c r="K395">
        <v>6630</v>
      </c>
      <c r="L395" t="b">
        <v>1</v>
      </c>
      <c r="M395" s="13">
        <v>1.6467000000000001</v>
      </c>
    </row>
    <row r="396" spans="1:13" x14ac:dyDescent="0.25">
      <c r="A396" s="2">
        <v>43530</v>
      </c>
      <c r="B396" s="1" t="s">
        <v>227</v>
      </c>
      <c r="C396" s="1" t="s">
        <v>228</v>
      </c>
      <c r="D396">
        <v>1</v>
      </c>
      <c r="E396">
        <v>4980.34</v>
      </c>
      <c r="F396">
        <v>4916.25</v>
      </c>
      <c r="G396">
        <v>1638.75</v>
      </c>
      <c r="H396" s="8">
        <f>SUM(sales_data[[#This Row],[rand discount]]/sales_data[[#This Row],[total order total]])</f>
        <v>0.32904380022247476</v>
      </c>
      <c r="I396">
        <v>25</v>
      </c>
      <c r="J396">
        <v>64.09</v>
      </c>
      <c r="K396">
        <v>6555</v>
      </c>
      <c r="L396" t="b">
        <v>1</v>
      </c>
      <c r="M396" s="13">
        <v>0.98399999999999999</v>
      </c>
    </row>
    <row r="397" spans="1:13" x14ac:dyDescent="0.25">
      <c r="A397" s="2">
        <v>43469</v>
      </c>
      <c r="B397" s="1" t="s">
        <v>48</v>
      </c>
      <c r="C397" s="1" t="s">
        <v>49</v>
      </c>
      <c r="D397">
        <v>2</v>
      </c>
      <c r="E397">
        <v>6294.86</v>
      </c>
      <c r="F397">
        <v>6217.75</v>
      </c>
      <c r="G397">
        <v>327.25</v>
      </c>
      <c r="H397" s="8">
        <f>SUM(sales_data[[#This Row],[rand discount]]/sales_data[[#This Row],[total order total]])</f>
        <v>5.1986859119980432E-2</v>
      </c>
      <c r="I397">
        <v>5</v>
      </c>
      <c r="J397">
        <v>77.11</v>
      </c>
      <c r="K397">
        <v>6545</v>
      </c>
      <c r="L397" t="b">
        <v>1</v>
      </c>
      <c r="M397" s="13">
        <v>61.293500000000002</v>
      </c>
    </row>
    <row r="398" spans="1:13" x14ac:dyDescent="0.25">
      <c r="A398" s="2">
        <v>43686</v>
      </c>
      <c r="B398" s="1" t="s">
        <v>359</v>
      </c>
      <c r="C398" s="1" t="s">
        <v>360</v>
      </c>
      <c r="D398">
        <v>1</v>
      </c>
      <c r="E398">
        <v>5640.77</v>
      </c>
      <c r="F398">
        <v>5563.25</v>
      </c>
      <c r="G398">
        <v>981.75</v>
      </c>
      <c r="H398" s="8">
        <f>SUM(sales_data[[#This Row],[rand discount]]/sales_data[[#This Row],[total order total]])</f>
        <v>0.17404538742051173</v>
      </c>
      <c r="I398">
        <v>15</v>
      </c>
      <c r="J398">
        <v>77.52</v>
      </c>
      <c r="K398">
        <v>6545</v>
      </c>
      <c r="L398" t="b">
        <v>1</v>
      </c>
      <c r="M398" s="13">
        <v>0.81899999999999995</v>
      </c>
    </row>
    <row r="399" spans="1:13" x14ac:dyDescent="0.25">
      <c r="A399" s="2">
        <v>43520</v>
      </c>
      <c r="B399" s="1" t="s">
        <v>46</v>
      </c>
      <c r="C399" s="1" t="s">
        <v>47</v>
      </c>
      <c r="D399">
        <v>2</v>
      </c>
      <c r="E399">
        <v>6268.89</v>
      </c>
      <c r="F399">
        <v>6208.25</v>
      </c>
      <c r="G399">
        <v>326.75</v>
      </c>
      <c r="H399" s="8">
        <f>SUM(sales_data[[#This Row],[rand discount]]/sales_data[[#This Row],[total order total]])</f>
        <v>5.2122465061597824E-2</v>
      </c>
      <c r="I399">
        <v>5</v>
      </c>
      <c r="J399">
        <v>60.64</v>
      </c>
      <c r="K399">
        <v>6535</v>
      </c>
      <c r="L399" t="b">
        <v>0</v>
      </c>
      <c r="M399" s="13">
        <v>1.0880000000000001</v>
      </c>
    </row>
    <row r="400" spans="1:13" x14ac:dyDescent="0.25">
      <c r="A400" s="2">
        <v>43553</v>
      </c>
      <c r="B400" s="1" t="s">
        <v>561</v>
      </c>
      <c r="C400" s="1" t="s">
        <v>562</v>
      </c>
      <c r="D400">
        <v>3</v>
      </c>
      <c r="E400">
        <v>6218.31</v>
      </c>
      <c r="F400">
        <v>6137</v>
      </c>
      <c r="G400">
        <v>323</v>
      </c>
      <c r="H400" s="8">
        <f>SUM(sales_data[[#This Row],[rand discount]]/sales_data[[#This Row],[total order total]])</f>
        <v>5.1943373681916788E-2</v>
      </c>
      <c r="I400">
        <v>5</v>
      </c>
      <c r="J400">
        <v>81.31</v>
      </c>
      <c r="K400">
        <v>6460</v>
      </c>
      <c r="L400" t="b">
        <v>1</v>
      </c>
      <c r="M400" s="13">
        <v>1.8081</v>
      </c>
    </row>
    <row r="401" spans="1:13" x14ac:dyDescent="0.25">
      <c r="A401" s="2">
        <v>43787</v>
      </c>
      <c r="B401" s="1" t="s">
        <v>651</v>
      </c>
      <c r="C401" s="1" t="s">
        <v>652</v>
      </c>
      <c r="D401">
        <v>3</v>
      </c>
      <c r="E401">
        <v>6242.1</v>
      </c>
      <c r="F401">
        <v>6137</v>
      </c>
      <c r="G401">
        <v>323</v>
      </c>
      <c r="H401" s="8">
        <f>SUM(sales_data[[#This Row],[rand discount]]/sales_data[[#This Row],[total order total]])</f>
        <v>5.1745406193428489E-2</v>
      </c>
      <c r="I401">
        <v>5</v>
      </c>
      <c r="J401">
        <v>105.1</v>
      </c>
      <c r="K401">
        <v>6460</v>
      </c>
      <c r="L401" t="b">
        <v>1</v>
      </c>
      <c r="M401" s="13">
        <v>1.6359999999999999</v>
      </c>
    </row>
    <row r="402" spans="1:13" x14ac:dyDescent="0.25">
      <c r="A402" s="2">
        <v>43807</v>
      </c>
      <c r="B402" s="1" t="s">
        <v>989</v>
      </c>
      <c r="C402" s="1" t="s">
        <v>990</v>
      </c>
      <c r="D402">
        <v>2</v>
      </c>
      <c r="E402">
        <v>5963.85</v>
      </c>
      <c r="F402">
        <v>5890</v>
      </c>
      <c r="G402">
        <v>310</v>
      </c>
      <c r="H402" s="8">
        <f>SUM(sales_data[[#This Row],[rand discount]]/sales_data[[#This Row],[total order total]])</f>
        <v>5.1979845234202737E-2</v>
      </c>
      <c r="I402">
        <v>5</v>
      </c>
      <c r="J402">
        <v>73.849999999999994</v>
      </c>
      <c r="K402">
        <v>6200</v>
      </c>
      <c r="L402" t="b">
        <v>0</v>
      </c>
      <c r="M402" s="13">
        <v>0.92230000000000001</v>
      </c>
    </row>
    <row r="403" spans="1:13" x14ac:dyDescent="0.25">
      <c r="A403" s="2">
        <v>43537</v>
      </c>
      <c r="B403" s="1" t="s">
        <v>433</v>
      </c>
      <c r="C403" s="1" t="s">
        <v>434</v>
      </c>
      <c r="D403">
        <v>3</v>
      </c>
      <c r="E403">
        <v>6078.9</v>
      </c>
      <c r="F403">
        <v>6015</v>
      </c>
      <c r="G403">
        <v>0</v>
      </c>
      <c r="H403" s="8">
        <f>SUM(sales_data[[#This Row],[rand discount]]/sales_data[[#This Row],[total order total]])</f>
        <v>0</v>
      </c>
      <c r="I403">
        <v>0</v>
      </c>
      <c r="J403">
        <v>63.9</v>
      </c>
      <c r="K403">
        <v>6015</v>
      </c>
      <c r="L403" t="b">
        <v>1</v>
      </c>
      <c r="M403" s="13">
        <v>0.94689999999999996</v>
      </c>
    </row>
    <row r="404" spans="1:13" x14ac:dyDescent="0.25">
      <c r="A404" s="2">
        <v>43753</v>
      </c>
      <c r="B404" s="1" t="s">
        <v>449</v>
      </c>
      <c r="C404" s="1" t="s">
        <v>450</v>
      </c>
      <c r="D404">
        <v>2</v>
      </c>
      <c r="E404">
        <v>5218.8500000000004</v>
      </c>
      <c r="F404">
        <v>5112.75</v>
      </c>
      <c r="G404">
        <v>902.25</v>
      </c>
      <c r="H404" s="8">
        <f>SUM(sales_data[[#This Row],[rand discount]]/sales_data[[#This Row],[total order total]])</f>
        <v>0.17288291481839868</v>
      </c>
      <c r="I404">
        <v>15</v>
      </c>
      <c r="J404">
        <v>106.1</v>
      </c>
      <c r="K404">
        <v>6015</v>
      </c>
      <c r="L404" t="b">
        <v>1</v>
      </c>
      <c r="M404" s="13">
        <v>1.4861</v>
      </c>
    </row>
    <row r="405" spans="1:13" x14ac:dyDescent="0.25">
      <c r="A405" s="2">
        <v>43499</v>
      </c>
      <c r="B405" s="1" t="s">
        <v>809</v>
      </c>
      <c r="C405" s="1" t="s">
        <v>810</v>
      </c>
      <c r="D405">
        <v>1</v>
      </c>
      <c r="E405">
        <v>6060.9</v>
      </c>
      <c r="F405">
        <v>5975</v>
      </c>
      <c r="G405">
        <v>0</v>
      </c>
      <c r="H405" s="8">
        <f>SUM(sales_data[[#This Row],[rand discount]]/sales_data[[#This Row],[total order total]])</f>
        <v>0</v>
      </c>
      <c r="I405">
        <v>0</v>
      </c>
      <c r="J405">
        <v>85.9</v>
      </c>
      <c r="K405">
        <v>5975</v>
      </c>
      <c r="L405" t="b">
        <v>1</v>
      </c>
      <c r="M405" s="13">
        <v>1.6131</v>
      </c>
    </row>
    <row r="406" spans="1:13" x14ac:dyDescent="0.25">
      <c r="A406" s="2">
        <v>43493</v>
      </c>
      <c r="B406" s="1" t="s">
        <v>555</v>
      </c>
      <c r="C406" s="1" t="s">
        <v>556</v>
      </c>
      <c r="D406">
        <v>2</v>
      </c>
      <c r="E406">
        <v>5098</v>
      </c>
      <c r="F406">
        <v>5023.5</v>
      </c>
      <c r="G406">
        <v>886.5</v>
      </c>
      <c r="H406" s="8">
        <f>SUM(sales_data[[#This Row],[rand discount]]/sales_data[[#This Row],[total order total]])</f>
        <v>0.17389172224401725</v>
      </c>
      <c r="I406">
        <v>15</v>
      </c>
      <c r="J406">
        <v>74.5</v>
      </c>
      <c r="K406">
        <v>5910</v>
      </c>
      <c r="L406" t="b">
        <v>1</v>
      </c>
      <c r="M406" s="13">
        <v>0.53339999999999999</v>
      </c>
    </row>
    <row r="407" spans="1:13" x14ac:dyDescent="0.25">
      <c r="A407" s="2">
        <v>43729</v>
      </c>
      <c r="B407" s="1" t="s">
        <v>686</v>
      </c>
      <c r="C407" s="1" t="s">
        <v>687</v>
      </c>
      <c r="D407">
        <v>2</v>
      </c>
      <c r="E407">
        <v>5723.04</v>
      </c>
      <c r="F407">
        <v>5614.5</v>
      </c>
      <c r="G407">
        <v>295.5</v>
      </c>
      <c r="H407" s="8">
        <f>SUM(sales_data[[#This Row],[rand discount]]/sales_data[[#This Row],[total order total]])</f>
        <v>5.1633397634823448E-2</v>
      </c>
      <c r="I407">
        <v>5</v>
      </c>
      <c r="J407">
        <v>108.54</v>
      </c>
      <c r="K407">
        <v>5910</v>
      </c>
      <c r="L407" t="b">
        <v>1</v>
      </c>
      <c r="M407" s="13">
        <v>1.5083</v>
      </c>
    </row>
    <row r="408" spans="1:13" x14ac:dyDescent="0.25">
      <c r="A408" s="2">
        <v>43518</v>
      </c>
      <c r="B408" s="1" t="s">
        <v>862</v>
      </c>
      <c r="C408" s="1" t="s">
        <v>863</v>
      </c>
      <c r="D408">
        <v>3</v>
      </c>
      <c r="E408">
        <v>5091.55</v>
      </c>
      <c r="F408">
        <v>5023.5</v>
      </c>
      <c r="G408">
        <v>886.5</v>
      </c>
      <c r="H408" s="8">
        <f>SUM(sales_data[[#This Row],[rand discount]]/sales_data[[#This Row],[total order total]])</f>
        <v>0.17411200911313843</v>
      </c>
      <c r="I408">
        <v>15</v>
      </c>
      <c r="J408">
        <v>68.05</v>
      </c>
      <c r="K408">
        <v>5910</v>
      </c>
      <c r="L408" t="b">
        <v>0</v>
      </c>
      <c r="M408" s="13">
        <v>0.33739999999999998</v>
      </c>
    </row>
    <row r="409" spans="1:13" x14ac:dyDescent="0.25">
      <c r="A409" s="2">
        <v>43773</v>
      </c>
      <c r="B409" s="1" t="s">
        <v>143</v>
      </c>
      <c r="C409" s="1" t="s">
        <v>144</v>
      </c>
      <c r="D409">
        <v>2</v>
      </c>
      <c r="E409">
        <v>5114.47</v>
      </c>
      <c r="F409">
        <v>5019.25</v>
      </c>
      <c r="G409">
        <v>885.75</v>
      </c>
      <c r="H409" s="8">
        <f>SUM(sales_data[[#This Row],[rand discount]]/sales_data[[#This Row],[total order total]])</f>
        <v>0.17318510031342446</v>
      </c>
      <c r="I409">
        <v>15</v>
      </c>
      <c r="J409">
        <v>95.22</v>
      </c>
      <c r="K409">
        <v>5905</v>
      </c>
      <c r="L409" t="b">
        <v>1</v>
      </c>
      <c r="M409" s="13">
        <v>0.1227</v>
      </c>
    </row>
    <row r="410" spans="1:13" x14ac:dyDescent="0.25">
      <c r="A410" s="2">
        <v>43467</v>
      </c>
      <c r="B410" s="1" t="s">
        <v>139</v>
      </c>
      <c r="C410" s="1" t="s">
        <v>140</v>
      </c>
      <c r="D410">
        <v>1</v>
      </c>
      <c r="E410">
        <v>5379.13</v>
      </c>
      <c r="F410">
        <v>5301</v>
      </c>
      <c r="G410">
        <v>589</v>
      </c>
      <c r="H410" s="8">
        <f>SUM(sales_data[[#This Row],[rand discount]]/sales_data[[#This Row],[total order total]])</f>
        <v>0.10949726070944557</v>
      </c>
      <c r="I410">
        <v>10</v>
      </c>
      <c r="J410">
        <v>78.13</v>
      </c>
      <c r="K410">
        <v>5890</v>
      </c>
      <c r="L410" t="b">
        <v>0</v>
      </c>
      <c r="M410" s="13">
        <v>1.2282999999999999</v>
      </c>
    </row>
    <row r="411" spans="1:13" x14ac:dyDescent="0.25">
      <c r="A411" s="2">
        <v>43558</v>
      </c>
      <c r="B411" s="1" t="s">
        <v>947</v>
      </c>
      <c r="C411" s="1" t="s">
        <v>948</v>
      </c>
      <c r="D411">
        <v>2</v>
      </c>
      <c r="E411">
        <v>5947.65</v>
      </c>
      <c r="F411">
        <v>5885</v>
      </c>
      <c r="G411">
        <v>0</v>
      </c>
      <c r="H411" s="8">
        <f>SUM(sales_data[[#This Row],[rand discount]]/sales_data[[#This Row],[total order total]])</f>
        <v>0</v>
      </c>
      <c r="I411">
        <v>0</v>
      </c>
      <c r="J411">
        <v>62.65</v>
      </c>
      <c r="K411">
        <v>5885</v>
      </c>
      <c r="L411" t="b">
        <v>0</v>
      </c>
      <c r="M411" s="13">
        <v>0.76729999999999998</v>
      </c>
    </row>
    <row r="412" spans="1:13" x14ac:dyDescent="0.25">
      <c r="A412" s="2">
        <v>43543</v>
      </c>
      <c r="B412" s="1" t="s">
        <v>329</v>
      </c>
      <c r="C412" s="1" t="s">
        <v>330</v>
      </c>
      <c r="D412">
        <v>1</v>
      </c>
      <c r="E412">
        <v>4451.08</v>
      </c>
      <c r="F412">
        <v>4368.75</v>
      </c>
      <c r="G412">
        <v>1456.25</v>
      </c>
      <c r="H412" s="8">
        <f>SUM(sales_data[[#This Row],[rand discount]]/sales_data[[#This Row],[total order total]])</f>
        <v>0.3271677884917818</v>
      </c>
      <c r="I412">
        <v>25</v>
      </c>
      <c r="J412">
        <v>82.33</v>
      </c>
      <c r="K412">
        <v>5825</v>
      </c>
      <c r="L412" t="b">
        <v>1</v>
      </c>
      <c r="M412" s="13">
        <v>1.2522</v>
      </c>
    </row>
    <row r="413" spans="1:13" x14ac:dyDescent="0.25">
      <c r="A413" s="2">
        <v>43830</v>
      </c>
      <c r="B413" s="1" t="s">
        <v>880</v>
      </c>
      <c r="C413" s="1" t="s">
        <v>881</v>
      </c>
      <c r="D413">
        <v>1</v>
      </c>
      <c r="E413">
        <v>5808.3</v>
      </c>
      <c r="F413">
        <v>5740</v>
      </c>
      <c r="G413">
        <v>0</v>
      </c>
      <c r="H413" s="8">
        <f>SUM(sales_data[[#This Row],[rand discount]]/sales_data[[#This Row],[total order total]])</f>
        <v>0</v>
      </c>
      <c r="I413">
        <v>0</v>
      </c>
      <c r="J413">
        <v>68.3</v>
      </c>
      <c r="K413">
        <v>5740</v>
      </c>
      <c r="L413" t="b">
        <v>0</v>
      </c>
      <c r="M413" s="13">
        <v>1.8197000000000001</v>
      </c>
    </row>
    <row r="414" spans="1:13" x14ac:dyDescent="0.25">
      <c r="A414" s="2">
        <v>43658</v>
      </c>
      <c r="B414" s="1" t="s">
        <v>519</v>
      </c>
      <c r="C414" s="1" t="s">
        <v>520</v>
      </c>
      <c r="D414">
        <v>1</v>
      </c>
      <c r="E414">
        <v>4355.75</v>
      </c>
      <c r="F414">
        <v>4275</v>
      </c>
      <c r="G414">
        <v>1425</v>
      </c>
      <c r="H414" s="8">
        <f>SUM(sales_data[[#This Row],[rand discount]]/sales_data[[#This Row],[total order total]])</f>
        <v>0.32715376226826609</v>
      </c>
      <c r="I414">
        <v>25</v>
      </c>
      <c r="J414">
        <v>80.75</v>
      </c>
      <c r="K414">
        <v>5700</v>
      </c>
      <c r="L414" t="b">
        <v>1</v>
      </c>
      <c r="M414" s="13">
        <v>1.5585</v>
      </c>
    </row>
    <row r="415" spans="1:13" x14ac:dyDescent="0.25">
      <c r="A415" s="2">
        <v>43475</v>
      </c>
      <c r="B415" s="1" t="s">
        <v>56</v>
      </c>
      <c r="C415" s="1" t="s">
        <v>57</v>
      </c>
      <c r="D415">
        <v>3</v>
      </c>
      <c r="E415">
        <v>5464.28</v>
      </c>
      <c r="F415">
        <v>5391.25</v>
      </c>
      <c r="G415">
        <v>283.75</v>
      </c>
      <c r="H415" s="8">
        <f>SUM(sales_data[[#This Row],[rand discount]]/sales_data[[#This Row],[total order total]])</f>
        <v>5.1928158879120397E-2</v>
      </c>
      <c r="I415">
        <v>5</v>
      </c>
      <c r="J415">
        <v>73.03</v>
      </c>
      <c r="K415">
        <v>5675</v>
      </c>
      <c r="L415" t="b">
        <v>0</v>
      </c>
      <c r="M415" s="13">
        <v>0.3468</v>
      </c>
    </row>
    <row r="416" spans="1:13" x14ac:dyDescent="0.25">
      <c r="A416" s="2">
        <v>43512</v>
      </c>
      <c r="B416" s="1" t="s">
        <v>453</v>
      </c>
      <c r="C416" s="1" t="s">
        <v>454</v>
      </c>
      <c r="D416">
        <v>2</v>
      </c>
      <c r="E416">
        <v>5417.05</v>
      </c>
      <c r="F416">
        <v>5348.5</v>
      </c>
      <c r="G416">
        <v>281.5</v>
      </c>
      <c r="H416" s="8">
        <f>SUM(sales_data[[#This Row],[rand discount]]/sales_data[[#This Row],[total order total]])</f>
        <v>5.1965553207003808E-2</v>
      </c>
      <c r="I416">
        <v>5</v>
      </c>
      <c r="J416">
        <v>68.55</v>
      </c>
      <c r="K416">
        <v>5630</v>
      </c>
      <c r="L416" t="b">
        <v>0</v>
      </c>
      <c r="M416" s="13">
        <v>0.41870000000000002</v>
      </c>
    </row>
    <row r="417" spans="1:13" x14ac:dyDescent="0.25">
      <c r="A417" s="2">
        <v>43588</v>
      </c>
      <c r="B417" s="1" t="s">
        <v>895</v>
      </c>
      <c r="C417" s="1" t="s">
        <v>896</v>
      </c>
      <c r="D417">
        <v>2</v>
      </c>
      <c r="E417">
        <v>5426.35</v>
      </c>
      <c r="F417">
        <v>5348.5</v>
      </c>
      <c r="G417">
        <v>281.5</v>
      </c>
      <c r="H417" s="8">
        <f>SUM(sales_data[[#This Row],[rand discount]]/sales_data[[#This Row],[total order total]])</f>
        <v>5.1876491564311185E-2</v>
      </c>
      <c r="I417">
        <v>5</v>
      </c>
      <c r="J417">
        <v>77.849999999999994</v>
      </c>
      <c r="K417">
        <v>5630</v>
      </c>
      <c r="L417" t="b">
        <v>1</v>
      </c>
      <c r="M417" s="13">
        <v>0.76759999999999995</v>
      </c>
    </row>
    <row r="418" spans="1:13" x14ac:dyDescent="0.25">
      <c r="A418" s="2">
        <v>43805</v>
      </c>
      <c r="B418" s="1" t="s">
        <v>951</v>
      </c>
      <c r="C418" s="1" t="s">
        <v>952</v>
      </c>
      <c r="D418">
        <v>1</v>
      </c>
      <c r="E418">
        <v>5133.7</v>
      </c>
      <c r="F418">
        <v>5067</v>
      </c>
      <c r="G418">
        <v>563</v>
      </c>
      <c r="H418" s="8">
        <f>SUM(sales_data[[#This Row],[rand discount]]/sales_data[[#This Row],[total order total]])</f>
        <v>0.10966749128309017</v>
      </c>
      <c r="I418">
        <v>10</v>
      </c>
      <c r="J418">
        <v>66.7</v>
      </c>
      <c r="K418">
        <v>5630</v>
      </c>
      <c r="L418" t="b">
        <v>0</v>
      </c>
      <c r="M418" s="13">
        <v>0.25309999999999999</v>
      </c>
    </row>
    <row r="419" spans="1:13" x14ac:dyDescent="0.25">
      <c r="A419" s="2">
        <v>43562</v>
      </c>
      <c r="B419" s="1" t="s">
        <v>315</v>
      </c>
      <c r="C419" s="1" t="s">
        <v>316</v>
      </c>
      <c r="D419">
        <v>2</v>
      </c>
      <c r="E419">
        <v>4270</v>
      </c>
      <c r="F419">
        <v>4192.5</v>
      </c>
      <c r="G419">
        <v>1397.5</v>
      </c>
      <c r="H419" s="8">
        <f>SUM(sales_data[[#This Row],[rand discount]]/sales_data[[#This Row],[total order total]])</f>
        <v>0.32728337236533955</v>
      </c>
      <c r="I419">
        <v>25</v>
      </c>
      <c r="J419">
        <v>77.5</v>
      </c>
      <c r="K419">
        <v>5590</v>
      </c>
      <c r="L419" t="b">
        <v>1</v>
      </c>
      <c r="M419" s="13">
        <v>0.6512</v>
      </c>
    </row>
    <row r="420" spans="1:13" x14ac:dyDescent="0.25">
      <c r="A420" s="2">
        <v>43640</v>
      </c>
      <c r="B420" s="1" t="s">
        <v>64</v>
      </c>
      <c r="C420" s="1" t="s">
        <v>65</v>
      </c>
      <c r="D420">
        <v>2</v>
      </c>
      <c r="E420">
        <v>5663.28</v>
      </c>
      <c r="F420">
        <v>5585</v>
      </c>
      <c r="G420">
        <v>0</v>
      </c>
      <c r="H420" s="8">
        <f>SUM(sales_data[[#This Row],[rand discount]]/sales_data[[#This Row],[total order total]])</f>
        <v>0</v>
      </c>
      <c r="I420">
        <v>0</v>
      </c>
      <c r="J420">
        <v>78.28</v>
      </c>
      <c r="K420">
        <v>5585</v>
      </c>
      <c r="L420" t="b">
        <v>1</v>
      </c>
      <c r="M420" s="13">
        <v>0.99919999999999998</v>
      </c>
    </row>
    <row r="421" spans="1:13" x14ac:dyDescent="0.25">
      <c r="A421" s="2">
        <v>43722</v>
      </c>
      <c r="B421" s="1" t="s">
        <v>193</v>
      </c>
      <c r="C421" s="1" t="s">
        <v>194</v>
      </c>
      <c r="D421">
        <v>2</v>
      </c>
      <c r="E421">
        <v>5619.21</v>
      </c>
      <c r="F421">
        <v>5545</v>
      </c>
      <c r="G421">
        <v>0</v>
      </c>
      <c r="H421" s="8">
        <f>SUM(sales_data[[#This Row],[rand discount]]/sales_data[[#This Row],[total order total]])</f>
        <v>0</v>
      </c>
      <c r="I421">
        <v>0</v>
      </c>
      <c r="J421">
        <v>74.209999999999994</v>
      </c>
      <c r="K421">
        <v>5545</v>
      </c>
      <c r="L421" t="b">
        <v>0</v>
      </c>
      <c r="M421" s="13">
        <v>0.62270000000000003</v>
      </c>
    </row>
    <row r="422" spans="1:13" x14ac:dyDescent="0.25">
      <c r="A422" s="2">
        <v>43650</v>
      </c>
      <c r="B422" s="1" t="s">
        <v>381</v>
      </c>
      <c r="C422" s="1" t="s">
        <v>382</v>
      </c>
      <c r="D422">
        <v>2</v>
      </c>
      <c r="E422">
        <v>4239.24</v>
      </c>
      <c r="F422">
        <v>4158.75</v>
      </c>
      <c r="G422">
        <v>1386.25</v>
      </c>
      <c r="H422" s="8">
        <f>SUM(sales_data[[#This Row],[rand discount]]/sales_data[[#This Row],[total order total]])</f>
        <v>0.32700436870759853</v>
      </c>
      <c r="I422">
        <v>25</v>
      </c>
      <c r="J422">
        <v>80.489999999999995</v>
      </c>
      <c r="K422">
        <v>5545</v>
      </c>
      <c r="L422" t="b">
        <v>1</v>
      </c>
      <c r="M422" s="13">
        <v>1.5208999999999999</v>
      </c>
    </row>
    <row r="423" spans="1:13" x14ac:dyDescent="0.25">
      <c r="A423" s="2">
        <v>43696</v>
      </c>
      <c r="B423" s="1" t="s">
        <v>491</v>
      </c>
      <c r="C423" s="1" t="s">
        <v>492</v>
      </c>
      <c r="D423">
        <v>1</v>
      </c>
      <c r="E423">
        <v>5291.16</v>
      </c>
      <c r="F423">
        <v>5225</v>
      </c>
      <c r="G423">
        <v>275</v>
      </c>
      <c r="H423" s="8">
        <f>SUM(sales_data[[#This Row],[rand discount]]/sales_data[[#This Row],[total order total]])</f>
        <v>5.1973480295436164E-2</v>
      </c>
      <c r="I423">
        <v>5</v>
      </c>
      <c r="J423">
        <v>66.16</v>
      </c>
      <c r="K423">
        <v>5500</v>
      </c>
      <c r="L423" t="b">
        <v>0</v>
      </c>
      <c r="M423" s="13">
        <v>1.1615</v>
      </c>
    </row>
    <row r="424" spans="1:13" x14ac:dyDescent="0.25">
      <c r="A424" s="2">
        <v>43508</v>
      </c>
      <c r="B424" s="1" t="s">
        <v>817</v>
      </c>
      <c r="C424" s="1" t="s">
        <v>818</v>
      </c>
      <c r="D424">
        <v>2</v>
      </c>
      <c r="E424">
        <v>5197.21</v>
      </c>
      <c r="F424">
        <v>5101.5</v>
      </c>
      <c r="G424">
        <v>268.5</v>
      </c>
      <c r="H424" s="8">
        <f>SUM(sales_data[[#This Row],[rand discount]]/sales_data[[#This Row],[total order total]])</f>
        <v>5.1662334213934014E-2</v>
      </c>
      <c r="I424">
        <v>5</v>
      </c>
      <c r="J424">
        <v>95.71</v>
      </c>
      <c r="K424">
        <v>5370</v>
      </c>
      <c r="L424" t="b">
        <v>1</v>
      </c>
      <c r="M424" s="13">
        <v>1.1156999999999999</v>
      </c>
    </row>
    <row r="425" spans="1:13" x14ac:dyDescent="0.25">
      <c r="A425" s="2">
        <v>43737</v>
      </c>
      <c r="B425" s="1" t="s">
        <v>483</v>
      </c>
      <c r="C425" s="1" t="s">
        <v>484</v>
      </c>
      <c r="D425">
        <v>3</v>
      </c>
      <c r="E425">
        <v>5038.92</v>
      </c>
      <c r="F425">
        <v>4959</v>
      </c>
      <c r="G425">
        <v>261</v>
      </c>
      <c r="H425" s="8">
        <f>SUM(sales_data[[#This Row],[rand discount]]/sales_data[[#This Row],[total order total]])</f>
        <v>5.179681360291491E-2</v>
      </c>
      <c r="I425">
        <v>5</v>
      </c>
      <c r="J425">
        <v>79.92</v>
      </c>
      <c r="K425">
        <v>5220</v>
      </c>
      <c r="L425" t="b">
        <v>0</v>
      </c>
      <c r="M425" s="13">
        <v>1.1552</v>
      </c>
    </row>
    <row r="426" spans="1:13" x14ac:dyDescent="0.25">
      <c r="A426" s="2">
        <v>43483</v>
      </c>
      <c r="B426" s="1" t="s">
        <v>655</v>
      </c>
      <c r="C426" s="1" t="s">
        <v>656</v>
      </c>
      <c r="D426">
        <v>2</v>
      </c>
      <c r="E426">
        <v>4770.3100000000004</v>
      </c>
      <c r="F426">
        <v>4698</v>
      </c>
      <c r="G426">
        <v>522</v>
      </c>
      <c r="H426" s="8">
        <f>SUM(sales_data[[#This Row],[rand discount]]/sales_data[[#This Row],[total order total]])</f>
        <v>0.10942685066588963</v>
      </c>
      <c r="I426">
        <v>10</v>
      </c>
      <c r="J426">
        <v>72.31</v>
      </c>
      <c r="K426">
        <v>5220</v>
      </c>
      <c r="L426" t="b">
        <v>0</v>
      </c>
      <c r="M426" s="13">
        <v>0.72250000000000003</v>
      </c>
    </row>
    <row r="427" spans="1:13" x14ac:dyDescent="0.25">
      <c r="A427" s="2">
        <v>43633</v>
      </c>
      <c r="B427" s="1" t="s">
        <v>273</v>
      </c>
      <c r="C427" s="1" t="s">
        <v>274</v>
      </c>
      <c r="D427">
        <v>2</v>
      </c>
      <c r="E427">
        <v>3970.08</v>
      </c>
      <c r="F427">
        <v>3907.5</v>
      </c>
      <c r="G427">
        <v>1302.5</v>
      </c>
      <c r="H427" s="8">
        <f>SUM(sales_data[[#This Row],[rand discount]]/sales_data[[#This Row],[total order total]])</f>
        <v>0.32807903115302461</v>
      </c>
      <c r="I427">
        <v>25</v>
      </c>
      <c r="J427">
        <v>62.58</v>
      </c>
      <c r="K427">
        <v>5210</v>
      </c>
      <c r="L427" t="b">
        <v>0</v>
      </c>
      <c r="M427" s="13">
        <v>0.38129999999999997</v>
      </c>
    </row>
    <row r="428" spans="1:13" x14ac:dyDescent="0.25">
      <c r="A428" s="2">
        <v>43720</v>
      </c>
      <c r="B428" s="1" t="s">
        <v>239</v>
      </c>
      <c r="C428" s="1" t="s">
        <v>240</v>
      </c>
      <c r="D428">
        <v>2</v>
      </c>
      <c r="E428">
        <v>3965.53</v>
      </c>
      <c r="F428">
        <v>3885</v>
      </c>
      <c r="G428">
        <v>1295</v>
      </c>
      <c r="H428" s="8">
        <f>SUM(sales_data[[#This Row],[rand discount]]/sales_data[[#This Row],[total order total]])</f>
        <v>0.32656416670659405</v>
      </c>
      <c r="I428">
        <v>25</v>
      </c>
      <c r="J428">
        <v>80.53</v>
      </c>
      <c r="K428">
        <v>5180</v>
      </c>
      <c r="L428" t="b">
        <v>0</v>
      </c>
      <c r="M428" s="13">
        <v>1.1423000000000001</v>
      </c>
    </row>
    <row r="429" spans="1:13" x14ac:dyDescent="0.25">
      <c r="A429" s="2">
        <v>43786</v>
      </c>
      <c r="B429" s="1" t="s">
        <v>961</v>
      </c>
      <c r="C429" s="1" t="s">
        <v>962</v>
      </c>
      <c r="D429">
        <v>1</v>
      </c>
      <c r="E429">
        <v>4950.4399999999996</v>
      </c>
      <c r="F429">
        <v>4859.25</v>
      </c>
      <c r="G429">
        <v>255.75</v>
      </c>
      <c r="H429" s="8">
        <f>SUM(sales_data[[#This Row],[rand discount]]/sales_data[[#This Row],[total order total]])</f>
        <v>5.1662074482268248E-2</v>
      </c>
      <c r="I429">
        <v>5</v>
      </c>
      <c r="J429">
        <v>91.19</v>
      </c>
      <c r="K429">
        <v>5115</v>
      </c>
      <c r="L429" t="b">
        <v>1</v>
      </c>
      <c r="M429" s="13">
        <v>1.4086000000000001</v>
      </c>
    </row>
    <row r="430" spans="1:13" x14ac:dyDescent="0.25">
      <c r="A430" s="2">
        <v>43631</v>
      </c>
      <c r="B430" s="1" t="s">
        <v>409</v>
      </c>
      <c r="C430" s="1" t="s">
        <v>410</v>
      </c>
      <c r="D430">
        <v>1</v>
      </c>
      <c r="E430">
        <v>5123.08</v>
      </c>
      <c r="F430">
        <v>5060</v>
      </c>
      <c r="G430">
        <v>0</v>
      </c>
      <c r="H430" s="8">
        <f>SUM(sales_data[[#This Row],[rand discount]]/sales_data[[#This Row],[total order total]])</f>
        <v>0</v>
      </c>
      <c r="I430">
        <v>0</v>
      </c>
      <c r="J430">
        <v>63.08</v>
      </c>
      <c r="K430">
        <v>5060</v>
      </c>
      <c r="L430" t="b">
        <v>1</v>
      </c>
      <c r="M430" s="13">
        <v>1.0333000000000001</v>
      </c>
    </row>
    <row r="431" spans="1:13" x14ac:dyDescent="0.25">
      <c r="A431" s="2">
        <v>43604</v>
      </c>
      <c r="B431" s="1" t="s">
        <v>1001</v>
      </c>
      <c r="C431" s="1" t="s">
        <v>1002</v>
      </c>
      <c r="D431">
        <v>2</v>
      </c>
      <c r="E431">
        <v>4606.8900000000003</v>
      </c>
      <c r="F431">
        <v>4527</v>
      </c>
      <c r="G431">
        <v>503</v>
      </c>
      <c r="H431" s="8">
        <f>SUM(sales_data[[#This Row],[rand discount]]/sales_data[[#This Row],[total order total]])</f>
        <v>0.10918428701358182</v>
      </c>
      <c r="I431">
        <v>10</v>
      </c>
      <c r="J431">
        <v>79.89</v>
      </c>
      <c r="K431">
        <v>5030</v>
      </c>
      <c r="L431" t="b">
        <v>1</v>
      </c>
      <c r="M431" s="13">
        <v>1.3190999999999999</v>
      </c>
    </row>
    <row r="432" spans="1:13" x14ac:dyDescent="0.25">
      <c r="A432" s="2">
        <v>43475</v>
      </c>
      <c r="B432" s="1" t="s">
        <v>527</v>
      </c>
      <c r="C432" s="1" t="s">
        <v>528</v>
      </c>
      <c r="D432">
        <v>3</v>
      </c>
      <c r="E432">
        <v>3785.32</v>
      </c>
      <c r="F432">
        <v>3682.5</v>
      </c>
      <c r="G432">
        <v>1227.5</v>
      </c>
      <c r="H432" s="8">
        <f>SUM(sales_data[[#This Row],[rand discount]]/sales_data[[#This Row],[total order total]])</f>
        <v>0.3242790569885769</v>
      </c>
      <c r="I432">
        <v>25</v>
      </c>
      <c r="J432">
        <v>102.82</v>
      </c>
      <c r="K432">
        <v>4910</v>
      </c>
      <c r="L432" t="b">
        <v>1</v>
      </c>
      <c r="M432" s="13">
        <v>1.6818</v>
      </c>
    </row>
    <row r="433" spans="1:13" x14ac:dyDescent="0.25">
      <c r="A433" s="2">
        <v>43778</v>
      </c>
      <c r="B433" s="1" t="s">
        <v>939</v>
      </c>
      <c r="C433" s="1" t="s">
        <v>940</v>
      </c>
      <c r="D433">
        <v>3</v>
      </c>
      <c r="E433">
        <v>3791.37</v>
      </c>
      <c r="F433">
        <v>3682.5</v>
      </c>
      <c r="G433">
        <v>1227.5</v>
      </c>
      <c r="H433" s="8">
        <f>SUM(sales_data[[#This Row],[rand discount]]/sales_data[[#This Row],[total order total]])</f>
        <v>0.32376159541274002</v>
      </c>
      <c r="I433">
        <v>25</v>
      </c>
      <c r="J433">
        <v>108.87</v>
      </c>
      <c r="K433">
        <v>4910</v>
      </c>
      <c r="L433" t="b">
        <v>1</v>
      </c>
      <c r="M433" s="13">
        <v>1.5206999999999999</v>
      </c>
    </row>
    <row r="434" spans="1:13" x14ac:dyDescent="0.25">
      <c r="A434" s="2">
        <v>43814</v>
      </c>
      <c r="B434" s="1" t="s">
        <v>52</v>
      </c>
      <c r="C434" s="1" t="s">
        <v>53</v>
      </c>
      <c r="D434">
        <v>3</v>
      </c>
      <c r="E434">
        <v>4823.05</v>
      </c>
      <c r="F434">
        <v>4750</v>
      </c>
      <c r="G434">
        <v>0</v>
      </c>
      <c r="H434" s="8">
        <f>SUM(sales_data[[#This Row],[rand discount]]/sales_data[[#This Row],[total order total]])</f>
        <v>0</v>
      </c>
      <c r="I434">
        <v>0</v>
      </c>
      <c r="J434">
        <v>73.05</v>
      </c>
      <c r="K434">
        <v>4750</v>
      </c>
      <c r="L434" t="b">
        <v>0</v>
      </c>
      <c r="M434" s="13">
        <v>0.83689999999999998</v>
      </c>
    </row>
    <row r="435" spans="1:13" x14ac:dyDescent="0.25">
      <c r="A435" s="2">
        <v>43590</v>
      </c>
      <c r="B435" s="1" t="s">
        <v>127</v>
      </c>
      <c r="C435" s="1" t="s">
        <v>128</v>
      </c>
      <c r="D435">
        <v>1</v>
      </c>
      <c r="E435">
        <v>3579.02</v>
      </c>
      <c r="F435">
        <v>3513.75</v>
      </c>
      <c r="G435">
        <v>1171.25</v>
      </c>
      <c r="H435" s="8">
        <f>SUM(sales_data[[#This Row],[rand discount]]/sales_data[[#This Row],[total order total]])</f>
        <v>0.32725438807271262</v>
      </c>
      <c r="I435">
        <v>25</v>
      </c>
      <c r="J435">
        <v>65.27</v>
      </c>
      <c r="K435">
        <v>4685</v>
      </c>
      <c r="L435" t="b">
        <v>0</v>
      </c>
      <c r="M435" s="13">
        <v>1.3236000000000001</v>
      </c>
    </row>
    <row r="436" spans="1:13" x14ac:dyDescent="0.25">
      <c r="A436" s="2">
        <v>43635</v>
      </c>
      <c r="B436" s="1" t="s">
        <v>417</v>
      </c>
      <c r="C436" s="1" t="s">
        <v>418</v>
      </c>
      <c r="D436">
        <v>1</v>
      </c>
      <c r="E436">
        <v>3564.79</v>
      </c>
      <c r="F436">
        <v>3513.75</v>
      </c>
      <c r="G436">
        <v>1171.25</v>
      </c>
      <c r="H436" s="8">
        <f>SUM(sales_data[[#This Row],[rand discount]]/sales_data[[#This Row],[total order total]])</f>
        <v>0.32856072868247499</v>
      </c>
      <c r="I436">
        <v>25</v>
      </c>
      <c r="J436">
        <v>51.04</v>
      </c>
      <c r="K436">
        <v>4685</v>
      </c>
      <c r="L436" t="b">
        <v>0</v>
      </c>
      <c r="M436" s="13">
        <v>1.3906000000000001</v>
      </c>
    </row>
    <row r="437" spans="1:13" x14ac:dyDescent="0.25">
      <c r="A437" s="2">
        <v>43655</v>
      </c>
      <c r="B437" s="1" t="s">
        <v>355</v>
      </c>
      <c r="C437" s="1" t="s">
        <v>356</v>
      </c>
      <c r="D437">
        <v>2</v>
      </c>
      <c r="E437">
        <v>4276.1899999999996</v>
      </c>
      <c r="F437">
        <v>4212</v>
      </c>
      <c r="G437">
        <v>468</v>
      </c>
      <c r="H437" s="8">
        <f>SUM(sales_data[[#This Row],[rand discount]]/sales_data[[#This Row],[total order total]])</f>
        <v>0.10944321931438969</v>
      </c>
      <c r="I437">
        <v>10</v>
      </c>
      <c r="J437">
        <v>64.19</v>
      </c>
      <c r="K437">
        <v>4680</v>
      </c>
      <c r="L437" t="b">
        <v>0</v>
      </c>
      <c r="M437" s="13">
        <v>0.83819999999999995</v>
      </c>
    </row>
    <row r="438" spans="1:13" x14ac:dyDescent="0.25">
      <c r="A438" s="2">
        <v>43527</v>
      </c>
      <c r="B438" s="1" t="s">
        <v>539</v>
      </c>
      <c r="C438" s="1" t="s">
        <v>540</v>
      </c>
      <c r="D438">
        <v>1</v>
      </c>
      <c r="E438">
        <v>4058.02</v>
      </c>
      <c r="F438">
        <v>3978</v>
      </c>
      <c r="G438">
        <v>702</v>
      </c>
      <c r="H438" s="8">
        <f>SUM(sales_data[[#This Row],[rand discount]]/sales_data[[#This Row],[total order total]])</f>
        <v>0.17299076889714687</v>
      </c>
      <c r="I438">
        <v>15</v>
      </c>
      <c r="J438">
        <v>80.02</v>
      </c>
      <c r="K438">
        <v>4680</v>
      </c>
      <c r="L438" t="b">
        <v>1</v>
      </c>
      <c r="M438" s="13">
        <v>0.85699999999999998</v>
      </c>
    </row>
    <row r="439" spans="1:13" x14ac:dyDescent="0.25">
      <c r="A439" s="2">
        <v>43790</v>
      </c>
      <c r="B439" s="1" t="s">
        <v>439</v>
      </c>
      <c r="C439" s="1" t="s">
        <v>440</v>
      </c>
      <c r="D439">
        <v>1</v>
      </c>
      <c r="E439">
        <v>4555.29</v>
      </c>
      <c r="F439">
        <v>4441.25</v>
      </c>
      <c r="G439">
        <v>233.75</v>
      </c>
      <c r="H439" s="8">
        <f>SUM(sales_data[[#This Row],[rand discount]]/sales_data[[#This Row],[total order total]])</f>
        <v>5.1313966838554735E-2</v>
      </c>
      <c r="I439">
        <v>5</v>
      </c>
      <c r="J439">
        <v>114.04</v>
      </c>
      <c r="K439">
        <v>4675</v>
      </c>
      <c r="L439" t="b">
        <v>1</v>
      </c>
      <c r="M439" s="13">
        <v>2.1240999999999999</v>
      </c>
    </row>
    <row r="440" spans="1:13" x14ac:dyDescent="0.25">
      <c r="A440" s="2">
        <v>43601</v>
      </c>
      <c r="B440" s="1" t="s">
        <v>507</v>
      </c>
      <c r="C440" s="1" t="s">
        <v>508</v>
      </c>
      <c r="D440">
        <v>1</v>
      </c>
      <c r="E440">
        <v>3585.34</v>
      </c>
      <c r="F440">
        <v>3506.25</v>
      </c>
      <c r="G440">
        <v>1168.75</v>
      </c>
      <c r="H440" s="8">
        <f>SUM(sales_data[[#This Row],[rand discount]]/sales_data[[#This Row],[total order total]])</f>
        <v>0.32598024176228751</v>
      </c>
      <c r="I440">
        <v>25</v>
      </c>
      <c r="J440">
        <v>79.09</v>
      </c>
      <c r="K440">
        <v>4675</v>
      </c>
      <c r="L440" t="b">
        <v>1</v>
      </c>
      <c r="M440" s="13">
        <v>0.86040000000000005</v>
      </c>
    </row>
    <row r="441" spans="1:13" x14ac:dyDescent="0.25">
      <c r="A441" s="2">
        <v>43598</v>
      </c>
      <c r="B441" s="1" t="s">
        <v>399</v>
      </c>
      <c r="C441" s="1" t="s">
        <v>400</v>
      </c>
      <c r="D441">
        <v>1</v>
      </c>
      <c r="E441">
        <v>4263.1099999999997</v>
      </c>
      <c r="F441">
        <v>4194</v>
      </c>
      <c r="G441">
        <v>466</v>
      </c>
      <c r="H441" s="8">
        <f>SUM(sales_data[[#This Row],[rand discount]]/sales_data[[#This Row],[total order total]])</f>
        <v>0.10930987002446571</v>
      </c>
      <c r="I441">
        <v>10</v>
      </c>
      <c r="J441">
        <v>69.11</v>
      </c>
      <c r="K441">
        <v>4660</v>
      </c>
      <c r="L441" t="b">
        <v>0</v>
      </c>
      <c r="M441" s="13">
        <v>1.327</v>
      </c>
    </row>
    <row r="442" spans="1:13" x14ac:dyDescent="0.25">
      <c r="A442" s="2">
        <v>43750</v>
      </c>
      <c r="B442" s="1" t="s">
        <v>221</v>
      </c>
      <c r="C442" s="1" t="s">
        <v>222</v>
      </c>
      <c r="D442">
        <v>2</v>
      </c>
      <c r="E442">
        <v>4706.93</v>
      </c>
      <c r="F442">
        <v>4630</v>
      </c>
      <c r="G442">
        <v>0</v>
      </c>
      <c r="H442" s="8">
        <f>SUM(sales_data[[#This Row],[rand discount]]/sales_data[[#This Row],[total order total]])</f>
        <v>0</v>
      </c>
      <c r="I442">
        <v>0</v>
      </c>
      <c r="J442">
        <v>76.930000000000007</v>
      </c>
      <c r="K442">
        <v>4630</v>
      </c>
      <c r="L442" t="b">
        <v>0</v>
      </c>
      <c r="M442" s="13">
        <v>0.81950000000000001</v>
      </c>
    </row>
    <row r="443" spans="1:13" x14ac:dyDescent="0.25">
      <c r="A443" s="2">
        <v>43757</v>
      </c>
      <c r="B443" s="1" t="s">
        <v>427</v>
      </c>
      <c r="C443" s="1" t="s">
        <v>428</v>
      </c>
      <c r="D443">
        <v>1</v>
      </c>
      <c r="E443">
        <v>4223.7</v>
      </c>
      <c r="F443">
        <v>4158</v>
      </c>
      <c r="G443">
        <v>462</v>
      </c>
      <c r="H443" s="8">
        <f>SUM(sales_data[[#This Row],[rand discount]]/sales_data[[#This Row],[total order total]])</f>
        <v>0.10938276866254706</v>
      </c>
      <c r="I443">
        <v>10</v>
      </c>
      <c r="J443">
        <v>65.7</v>
      </c>
      <c r="K443">
        <v>4620</v>
      </c>
      <c r="L443" t="b">
        <v>0</v>
      </c>
      <c r="M443" s="13">
        <v>1.3448</v>
      </c>
    </row>
    <row r="444" spans="1:13" x14ac:dyDescent="0.25">
      <c r="A444" s="2">
        <v>43496</v>
      </c>
      <c r="B444" s="1" t="s">
        <v>159</v>
      </c>
      <c r="C444" s="1" t="s">
        <v>160</v>
      </c>
      <c r="D444">
        <v>2</v>
      </c>
      <c r="E444">
        <v>3913.42</v>
      </c>
      <c r="F444">
        <v>3833.5</v>
      </c>
      <c r="G444">
        <v>676.5</v>
      </c>
      <c r="H444" s="8">
        <f>SUM(sales_data[[#This Row],[rand discount]]/sales_data[[#This Row],[total order total]])</f>
        <v>0.1728666997153385</v>
      </c>
      <c r="I444">
        <v>15</v>
      </c>
      <c r="J444">
        <v>79.92</v>
      </c>
      <c r="K444">
        <v>4510</v>
      </c>
      <c r="L444" t="b">
        <v>0</v>
      </c>
      <c r="M444" s="13">
        <v>1.4322999999999999</v>
      </c>
    </row>
    <row r="445" spans="1:13" x14ac:dyDescent="0.25">
      <c r="A445" s="2">
        <v>43578</v>
      </c>
      <c r="B445" s="1" t="s">
        <v>639</v>
      </c>
      <c r="C445" s="1" t="s">
        <v>640</v>
      </c>
      <c r="D445">
        <v>2</v>
      </c>
      <c r="E445">
        <v>3912.99</v>
      </c>
      <c r="F445">
        <v>3833.5</v>
      </c>
      <c r="G445">
        <v>676.5</v>
      </c>
      <c r="H445" s="8">
        <f>SUM(sales_data[[#This Row],[rand discount]]/sales_data[[#This Row],[total order total]])</f>
        <v>0.17288569610451343</v>
      </c>
      <c r="I445">
        <v>15</v>
      </c>
      <c r="J445">
        <v>79.489999999999995</v>
      </c>
      <c r="K445">
        <v>4510</v>
      </c>
      <c r="L445" t="b">
        <v>1</v>
      </c>
      <c r="M445" s="13">
        <v>1.0602</v>
      </c>
    </row>
    <row r="446" spans="1:13" x14ac:dyDescent="0.25">
      <c r="A446" s="2">
        <v>43638</v>
      </c>
      <c r="B446" s="1" t="s">
        <v>171</v>
      </c>
      <c r="C446" s="1" t="s">
        <v>172</v>
      </c>
      <c r="D446">
        <v>2</v>
      </c>
      <c r="E446">
        <v>3416.42</v>
      </c>
      <c r="F446">
        <v>3352.5</v>
      </c>
      <c r="G446">
        <v>1117.5</v>
      </c>
      <c r="H446" s="8">
        <f>SUM(sales_data[[#This Row],[rand discount]]/sales_data[[#This Row],[total order total]])</f>
        <v>0.32709678552402804</v>
      </c>
      <c r="I446">
        <v>25</v>
      </c>
      <c r="J446">
        <v>63.92</v>
      </c>
      <c r="K446">
        <v>4470</v>
      </c>
      <c r="L446" t="b">
        <v>0</v>
      </c>
      <c r="M446" s="13">
        <v>0.52370000000000005</v>
      </c>
    </row>
    <row r="447" spans="1:13" x14ac:dyDescent="0.25">
      <c r="A447" s="2">
        <v>43712</v>
      </c>
      <c r="B447" s="1" t="s">
        <v>179</v>
      </c>
      <c r="C447" s="1" t="s">
        <v>180</v>
      </c>
      <c r="D447">
        <v>2</v>
      </c>
      <c r="E447">
        <v>4490.22</v>
      </c>
      <c r="F447">
        <v>4415</v>
      </c>
      <c r="G447">
        <v>0</v>
      </c>
      <c r="H447" s="8">
        <f>SUM(sales_data[[#This Row],[rand discount]]/sales_data[[#This Row],[total order total]])</f>
        <v>0</v>
      </c>
      <c r="I447">
        <v>0</v>
      </c>
      <c r="J447">
        <v>75.22</v>
      </c>
      <c r="K447">
        <v>4415</v>
      </c>
      <c r="L447" t="b">
        <v>0</v>
      </c>
      <c r="M447" s="13">
        <v>0.81920000000000004</v>
      </c>
    </row>
    <row r="448" spans="1:13" x14ac:dyDescent="0.25">
      <c r="A448" s="2">
        <v>43526</v>
      </c>
      <c r="B448" s="1" t="s">
        <v>123</v>
      </c>
      <c r="C448" s="1" t="s">
        <v>124</v>
      </c>
      <c r="D448">
        <v>3</v>
      </c>
      <c r="E448">
        <v>4470.72</v>
      </c>
      <c r="F448">
        <v>4405</v>
      </c>
      <c r="G448">
        <v>0</v>
      </c>
      <c r="H448" s="8">
        <f>SUM(sales_data[[#This Row],[rand discount]]/sales_data[[#This Row],[total order total]])</f>
        <v>0</v>
      </c>
      <c r="I448">
        <v>0</v>
      </c>
      <c r="J448">
        <v>65.72</v>
      </c>
      <c r="K448">
        <v>4405</v>
      </c>
      <c r="L448" t="b">
        <v>0</v>
      </c>
      <c r="M448" s="13">
        <v>0.89559999999999995</v>
      </c>
    </row>
    <row r="449" spans="1:13" x14ac:dyDescent="0.25">
      <c r="A449" s="2">
        <v>43718</v>
      </c>
      <c r="B449" s="1" t="s">
        <v>591</v>
      </c>
      <c r="C449" s="1" t="s">
        <v>592</v>
      </c>
      <c r="D449">
        <v>1</v>
      </c>
      <c r="E449">
        <v>4261.97</v>
      </c>
      <c r="F449">
        <v>4184.75</v>
      </c>
      <c r="G449">
        <v>220.25</v>
      </c>
      <c r="H449" s="8">
        <f>SUM(sales_data[[#This Row],[rand discount]]/sales_data[[#This Row],[total order total]])</f>
        <v>5.1677979901313238E-2</v>
      </c>
      <c r="I449">
        <v>5</v>
      </c>
      <c r="J449">
        <v>77.22</v>
      </c>
      <c r="K449">
        <v>4405</v>
      </c>
      <c r="L449" t="b">
        <v>0</v>
      </c>
      <c r="M449" s="13">
        <v>0.73350000000000004</v>
      </c>
    </row>
    <row r="450" spans="1:13" x14ac:dyDescent="0.25">
      <c r="A450" s="2">
        <v>43520</v>
      </c>
      <c r="B450" s="1" t="s">
        <v>661</v>
      </c>
      <c r="C450" s="1" t="s">
        <v>662</v>
      </c>
      <c r="D450">
        <v>2</v>
      </c>
      <c r="E450">
        <v>3813.87</v>
      </c>
      <c r="F450">
        <v>3744.25</v>
      </c>
      <c r="G450">
        <v>660.75</v>
      </c>
      <c r="H450" s="8">
        <f>SUM(sales_data[[#This Row],[rand discount]]/sales_data[[#This Row],[total order total]])</f>
        <v>0.17324921929693463</v>
      </c>
      <c r="I450">
        <v>15</v>
      </c>
      <c r="J450">
        <v>69.62</v>
      </c>
      <c r="K450">
        <v>4405</v>
      </c>
      <c r="L450" t="b">
        <v>0</v>
      </c>
      <c r="M450" s="13">
        <v>0.44359999999999999</v>
      </c>
    </row>
    <row r="451" spans="1:13" x14ac:dyDescent="0.25">
      <c r="A451" s="2">
        <v>43759</v>
      </c>
      <c r="B451" s="1" t="s">
        <v>806</v>
      </c>
      <c r="C451" s="1" t="s">
        <v>807</v>
      </c>
      <c r="D451">
        <v>3</v>
      </c>
      <c r="E451">
        <v>3905.06</v>
      </c>
      <c r="F451">
        <v>3828.5</v>
      </c>
      <c r="G451">
        <v>201.5</v>
      </c>
      <c r="H451" s="8">
        <f>SUM(sales_data[[#This Row],[rand discount]]/sales_data[[#This Row],[total order total]])</f>
        <v>5.1599719338499279E-2</v>
      </c>
      <c r="I451">
        <v>5</v>
      </c>
      <c r="J451">
        <v>76.56</v>
      </c>
      <c r="K451">
        <v>4030</v>
      </c>
      <c r="L451" t="b">
        <v>0</v>
      </c>
      <c r="M451" s="13">
        <v>0.83420000000000005</v>
      </c>
    </row>
    <row r="452" spans="1:13" x14ac:dyDescent="0.25">
      <c r="A452" s="2">
        <v>43828</v>
      </c>
      <c r="B452" s="1" t="s">
        <v>80</v>
      </c>
      <c r="C452" s="1" t="s">
        <v>81</v>
      </c>
      <c r="D452">
        <v>2</v>
      </c>
      <c r="E452">
        <v>3280.44</v>
      </c>
      <c r="F452">
        <v>3187.5</v>
      </c>
      <c r="G452">
        <v>562.5</v>
      </c>
      <c r="H452" s="8">
        <f>SUM(sales_data[[#This Row],[rand discount]]/sales_data[[#This Row],[total order total]])</f>
        <v>0.17147090024508907</v>
      </c>
      <c r="I452">
        <v>15</v>
      </c>
      <c r="J452">
        <v>92.94</v>
      </c>
      <c r="K452">
        <v>3750</v>
      </c>
      <c r="L452" t="b">
        <v>1</v>
      </c>
      <c r="M452" s="13">
        <v>0.89839999999999998</v>
      </c>
    </row>
    <row r="453" spans="1:13" x14ac:dyDescent="0.25">
      <c r="A453" s="2">
        <v>43588</v>
      </c>
      <c r="B453" s="1" t="s">
        <v>299</v>
      </c>
      <c r="C453" s="1" t="s">
        <v>300</v>
      </c>
      <c r="D453">
        <v>1</v>
      </c>
      <c r="E453">
        <v>3455.04</v>
      </c>
      <c r="F453">
        <v>3375</v>
      </c>
      <c r="G453">
        <v>375</v>
      </c>
      <c r="H453" s="8">
        <f>SUM(sales_data[[#This Row],[rand discount]]/sales_data[[#This Row],[total order total]])</f>
        <v>0.10853709363712143</v>
      </c>
      <c r="I453">
        <v>10</v>
      </c>
      <c r="J453">
        <v>80.040000000000006</v>
      </c>
      <c r="K453">
        <v>3750</v>
      </c>
      <c r="L453" t="b">
        <v>1</v>
      </c>
      <c r="M453" s="13">
        <v>0.85189999999999999</v>
      </c>
    </row>
    <row r="454" spans="1:13" x14ac:dyDescent="0.25">
      <c r="A454" s="2">
        <v>43485</v>
      </c>
      <c r="B454" s="1" t="s">
        <v>827</v>
      </c>
      <c r="C454" s="1" t="s">
        <v>828</v>
      </c>
      <c r="D454">
        <v>3</v>
      </c>
      <c r="E454">
        <v>3241.11</v>
      </c>
      <c r="F454">
        <v>3153.5</v>
      </c>
      <c r="G454">
        <v>556.5</v>
      </c>
      <c r="H454" s="8">
        <f>SUM(sales_data[[#This Row],[rand discount]]/sales_data[[#This Row],[total order total]])</f>
        <v>0.17170043596175383</v>
      </c>
      <c r="I454">
        <v>15</v>
      </c>
      <c r="J454">
        <v>87.61</v>
      </c>
      <c r="K454">
        <v>3710</v>
      </c>
      <c r="L454" t="b">
        <v>1</v>
      </c>
      <c r="M454" s="13">
        <v>1.7261</v>
      </c>
    </row>
    <row r="455" spans="1:13" x14ac:dyDescent="0.25">
      <c r="A455" s="2">
        <v>43573</v>
      </c>
      <c r="B455" s="1" t="s">
        <v>585</v>
      </c>
      <c r="C455" s="1" t="s">
        <v>586</v>
      </c>
      <c r="D455">
        <v>1</v>
      </c>
      <c r="E455">
        <v>3195.05</v>
      </c>
      <c r="F455">
        <v>3132.25</v>
      </c>
      <c r="G455">
        <v>552.75</v>
      </c>
      <c r="H455" s="8">
        <f>SUM(sales_data[[#This Row],[rand discount]]/sales_data[[#This Row],[total order total]])</f>
        <v>0.17300198744933568</v>
      </c>
      <c r="I455">
        <v>15</v>
      </c>
      <c r="J455">
        <v>62.8</v>
      </c>
      <c r="K455">
        <v>3685</v>
      </c>
      <c r="L455" t="b">
        <v>1</v>
      </c>
      <c r="M455" s="13">
        <v>0.85540000000000005</v>
      </c>
    </row>
    <row r="456" spans="1:13" x14ac:dyDescent="0.25">
      <c r="A456" s="2">
        <v>43564</v>
      </c>
      <c r="B456" s="1" t="s">
        <v>700</v>
      </c>
      <c r="C456" s="1" t="s">
        <v>701</v>
      </c>
      <c r="D456">
        <v>3</v>
      </c>
      <c r="E456">
        <v>3765.31</v>
      </c>
      <c r="F456">
        <v>3685</v>
      </c>
      <c r="G456">
        <v>0</v>
      </c>
      <c r="H456" s="8">
        <f>SUM(sales_data[[#This Row],[rand discount]]/sales_data[[#This Row],[total order total]])</f>
        <v>0</v>
      </c>
      <c r="I456">
        <v>0</v>
      </c>
      <c r="J456">
        <v>80.31</v>
      </c>
      <c r="K456">
        <v>3685</v>
      </c>
      <c r="L456" t="b">
        <v>1</v>
      </c>
      <c r="M456" s="13">
        <v>1.0065999999999999</v>
      </c>
    </row>
    <row r="457" spans="1:13" x14ac:dyDescent="0.25">
      <c r="A457" s="2">
        <v>43696</v>
      </c>
      <c r="B457" s="1" t="s">
        <v>251</v>
      </c>
      <c r="C457" s="1" t="s">
        <v>252</v>
      </c>
      <c r="D457">
        <v>3</v>
      </c>
      <c r="E457">
        <v>3269.62</v>
      </c>
      <c r="F457">
        <v>3196.8</v>
      </c>
      <c r="G457">
        <v>355.2</v>
      </c>
      <c r="H457" s="8">
        <f>SUM(sales_data[[#This Row],[rand discount]]/sales_data[[#This Row],[total order total]])</f>
        <v>0.10863647763348647</v>
      </c>
      <c r="I457">
        <v>10</v>
      </c>
      <c r="J457">
        <v>72.819999999999993</v>
      </c>
      <c r="K457">
        <v>3552</v>
      </c>
      <c r="L457" t="b">
        <v>1</v>
      </c>
      <c r="M457" s="13">
        <v>0.17530000000000001</v>
      </c>
    </row>
    <row r="458" spans="1:13" x14ac:dyDescent="0.25">
      <c r="A458" s="2">
        <v>43544</v>
      </c>
      <c r="B458" s="1" t="s">
        <v>819</v>
      </c>
      <c r="C458" s="1" t="s">
        <v>820</v>
      </c>
      <c r="D458">
        <v>2</v>
      </c>
      <c r="E458">
        <v>2640.78</v>
      </c>
      <c r="F458">
        <v>2557.5</v>
      </c>
      <c r="G458">
        <v>852.5</v>
      </c>
      <c r="H458" s="8">
        <f>SUM(sales_data[[#This Row],[rand discount]]/sales_data[[#This Row],[total order total]])</f>
        <v>0.32282128764986101</v>
      </c>
      <c r="I458">
        <v>25</v>
      </c>
      <c r="J458">
        <v>83.28</v>
      </c>
      <c r="K458">
        <v>3410</v>
      </c>
      <c r="L458" t="b">
        <v>1</v>
      </c>
      <c r="M458" s="13">
        <v>1.7545999999999999</v>
      </c>
    </row>
    <row r="459" spans="1:13" x14ac:dyDescent="0.25">
      <c r="A459" s="2">
        <v>43554</v>
      </c>
      <c r="B459" s="1" t="s">
        <v>889</v>
      </c>
      <c r="C459" s="1" t="s">
        <v>890</v>
      </c>
      <c r="D459">
        <v>3</v>
      </c>
      <c r="E459">
        <v>2620.3200000000002</v>
      </c>
      <c r="F459">
        <v>2557.5</v>
      </c>
      <c r="G459">
        <v>852.5</v>
      </c>
      <c r="H459" s="8">
        <f>SUM(sales_data[[#This Row],[rand discount]]/sales_data[[#This Row],[total order total]])</f>
        <v>0.3253419429687977</v>
      </c>
      <c r="I459">
        <v>25</v>
      </c>
      <c r="J459">
        <v>62.82</v>
      </c>
      <c r="K459">
        <v>3410</v>
      </c>
      <c r="L459" t="b">
        <v>0</v>
      </c>
      <c r="M459" s="13">
        <v>0.37530000000000002</v>
      </c>
    </row>
    <row r="460" spans="1:13" x14ac:dyDescent="0.25">
      <c r="A460" s="2">
        <v>43508</v>
      </c>
      <c r="B460" s="1" t="s">
        <v>363</v>
      </c>
      <c r="C460" s="1" t="s">
        <v>364</v>
      </c>
      <c r="D460">
        <v>2</v>
      </c>
      <c r="E460">
        <v>3293.95</v>
      </c>
      <c r="F460">
        <v>3234.75</v>
      </c>
      <c r="G460">
        <v>170.25</v>
      </c>
      <c r="H460" s="8">
        <f>SUM(sales_data[[#This Row],[rand discount]]/sales_data[[#This Row],[total order total]])</f>
        <v>5.1685666145509193E-2</v>
      </c>
      <c r="I460">
        <v>5</v>
      </c>
      <c r="J460">
        <v>59.2</v>
      </c>
      <c r="K460">
        <v>3405</v>
      </c>
      <c r="L460" t="b">
        <v>0</v>
      </c>
      <c r="M460" s="13">
        <v>1.0531999999999999</v>
      </c>
    </row>
    <row r="461" spans="1:13" x14ac:dyDescent="0.25">
      <c r="A461" s="2">
        <v>43760</v>
      </c>
      <c r="B461" s="1" t="s">
        <v>423</v>
      </c>
      <c r="C461" s="1" t="s">
        <v>424</v>
      </c>
      <c r="D461">
        <v>1</v>
      </c>
      <c r="E461">
        <v>2921.76</v>
      </c>
      <c r="F461">
        <v>2822</v>
      </c>
      <c r="G461">
        <v>498</v>
      </c>
      <c r="H461" s="8">
        <f>SUM(sales_data[[#This Row],[rand discount]]/sales_data[[#This Row],[total order total]])</f>
        <v>0.17044521110563496</v>
      </c>
      <c r="I461">
        <v>15</v>
      </c>
      <c r="J461">
        <v>99.76</v>
      </c>
      <c r="K461">
        <v>3320</v>
      </c>
      <c r="L461" t="b">
        <v>1</v>
      </c>
      <c r="M461" s="13">
        <v>0.65469999999999995</v>
      </c>
    </row>
    <row r="462" spans="1:13" x14ac:dyDescent="0.25">
      <c r="A462" s="2">
        <v>43649</v>
      </c>
      <c r="B462" s="1" t="s">
        <v>497</v>
      </c>
      <c r="C462" s="1" t="s">
        <v>498</v>
      </c>
      <c r="D462">
        <v>2</v>
      </c>
      <c r="E462">
        <v>2888.09</v>
      </c>
      <c r="F462">
        <v>2822</v>
      </c>
      <c r="G462">
        <v>498</v>
      </c>
      <c r="H462" s="8">
        <f>SUM(sales_data[[#This Row],[rand discount]]/sales_data[[#This Row],[total order total]])</f>
        <v>0.17243229954745176</v>
      </c>
      <c r="I462">
        <v>15</v>
      </c>
      <c r="J462">
        <v>66.09</v>
      </c>
      <c r="K462">
        <v>3320</v>
      </c>
      <c r="L462" t="b">
        <v>0</v>
      </c>
      <c r="M462" s="13">
        <v>1.2224999999999999</v>
      </c>
    </row>
    <row r="463" spans="1:13" x14ac:dyDescent="0.25">
      <c r="A463" s="2">
        <v>43563</v>
      </c>
      <c r="B463" s="1" t="s">
        <v>575</v>
      </c>
      <c r="C463" s="1" t="s">
        <v>576</v>
      </c>
      <c r="D463">
        <v>2</v>
      </c>
      <c r="E463">
        <v>3056.12</v>
      </c>
      <c r="F463">
        <v>2988</v>
      </c>
      <c r="G463">
        <v>332</v>
      </c>
      <c r="H463" s="8">
        <f>SUM(sales_data[[#This Row],[rand discount]]/sales_data[[#This Row],[total order total]])</f>
        <v>0.10863447770375509</v>
      </c>
      <c r="I463">
        <v>10</v>
      </c>
      <c r="J463">
        <v>68.12</v>
      </c>
      <c r="K463">
        <v>3320</v>
      </c>
      <c r="L463" t="b">
        <v>0</v>
      </c>
      <c r="M463" s="13">
        <v>1.5670999999999999</v>
      </c>
    </row>
    <row r="464" spans="1:13" x14ac:dyDescent="0.25">
      <c r="A464" s="2">
        <v>43621</v>
      </c>
      <c r="B464" s="1" t="s">
        <v>743</v>
      </c>
      <c r="C464" s="1" t="s">
        <v>744</v>
      </c>
      <c r="D464">
        <v>1</v>
      </c>
      <c r="E464">
        <v>2547.11</v>
      </c>
      <c r="F464">
        <v>2482.5</v>
      </c>
      <c r="G464">
        <v>827.5</v>
      </c>
      <c r="H464" s="8">
        <f>SUM(sales_data[[#This Row],[rand discount]]/sales_data[[#This Row],[total order total]])</f>
        <v>0.3248779989870873</v>
      </c>
      <c r="I464">
        <v>25</v>
      </c>
      <c r="J464">
        <v>64.61</v>
      </c>
      <c r="K464">
        <v>3310</v>
      </c>
      <c r="L464" t="b">
        <v>1</v>
      </c>
      <c r="M464" s="13">
        <v>1.4962</v>
      </c>
    </row>
    <row r="465" spans="1:13" x14ac:dyDescent="0.25">
      <c r="A465" s="2">
        <v>43682</v>
      </c>
      <c r="B465" s="1" t="s">
        <v>872</v>
      </c>
      <c r="C465" s="1" t="s">
        <v>873</v>
      </c>
      <c r="D465">
        <v>2</v>
      </c>
      <c r="E465">
        <v>3387.07</v>
      </c>
      <c r="F465">
        <v>3310</v>
      </c>
      <c r="G465">
        <v>0</v>
      </c>
      <c r="H465" s="8">
        <f>SUM(sales_data[[#This Row],[rand discount]]/sales_data[[#This Row],[total order total]])</f>
        <v>0</v>
      </c>
      <c r="I465">
        <v>0</v>
      </c>
      <c r="J465">
        <v>77.069999999999993</v>
      </c>
      <c r="K465">
        <v>3310</v>
      </c>
      <c r="L465" t="b">
        <v>1</v>
      </c>
      <c r="M465" s="13">
        <v>0.90110000000000001</v>
      </c>
    </row>
    <row r="466" spans="1:13" x14ac:dyDescent="0.25">
      <c r="A466" s="2">
        <v>43680</v>
      </c>
      <c r="B466" s="1" t="s">
        <v>361</v>
      </c>
      <c r="C466" s="1" t="s">
        <v>362</v>
      </c>
      <c r="D466">
        <v>3</v>
      </c>
      <c r="E466">
        <v>3008.35</v>
      </c>
      <c r="F466">
        <v>2930.75</v>
      </c>
      <c r="G466">
        <v>154.25</v>
      </c>
      <c r="H466" s="8">
        <f>SUM(sales_data[[#This Row],[rand discount]]/sales_data[[#This Row],[total order total]])</f>
        <v>5.1273954160918775E-2</v>
      </c>
      <c r="I466">
        <v>5</v>
      </c>
      <c r="J466">
        <v>77.599999999999994</v>
      </c>
      <c r="K466">
        <v>3085</v>
      </c>
      <c r="L466" t="b">
        <v>1</v>
      </c>
      <c r="M466" s="13">
        <v>1.1374</v>
      </c>
    </row>
    <row r="467" spans="1:13" x14ac:dyDescent="0.25">
      <c r="A467" s="2">
        <v>43531</v>
      </c>
      <c r="B467" s="1" t="s">
        <v>603</v>
      </c>
      <c r="C467" s="1" t="s">
        <v>604</v>
      </c>
      <c r="D467">
        <v>2</v>
      </c>
      <c r="E467">
        <v>3138.47</v>
      </c>
      <c r="F467">
        <v>3085</v>
      </c>
      <c r="G467">
        <v>0</v>
      </c>
      <c r="H467" s="8">
        <f>SUM(sales_data[[#This Row],[rand discount]]/sales_data[[#This Row],[total order total]])</f>
        <v>0</v>
      </c>
      <c r="I467">
        <v>0</v>
      </c>
      <c r="J467">
        <v>53.47</v>
      </c>
      <c r="K467">
        <v>3085</v>
      </c>
      <c r="L467" t="b">
        <v>0</v>
      </c>
      <c r="M467" s="13">
        <v>1.3574999999999999</v>
      </c>
    </row>
    <row r="468" spans="1:13" x14ac:dyDescent="0.25">
      <c r="A468" s="2">
        <v>43669</v>
      </c>
      <c r="B468" s="1" t="s">
        <v>207</v>
      </c>
      <c r="C468" s="1" t="s">
        <v>208</v>
      </c>
      <c r="D468">
        <v>2</v>
      </c>
      <c r="E468">
        <v>2794.47</v>
      </c>
      <c r="F468">
        <v>2727</v>
      </c>
      <c r="G468">
        <v>303</v>
      </c>
      <c r="H468" s="8">
        <f>SUM(sales_data[[#This Row],[rand discount]]/sales_data[[#This Row],[total order total]])</f>
        <v>0.10842843186722349</v>
      </c>
      <c r="I468">
        <v>10</v>
      </c>
      <c r="J468">
        <v>67.47</v>
      </c>
      <c r="K468">
        <v>3030</v>
      </c>
      <c r="L468" t="b">
        <v>0</v>
      </c>
      <c r="M468" s="13">
        <v>1.2783</v>
      </c>
    </row>
    <row r="469" spans="1:13" x14ac:dyDescent="0.25">
      <c r="A469" s="2">
        <v>43686</v>
      </c>
      <c r="B469" s="1" t="s">
        <v>733</v>
      </c>
      <c r="C469" s="1" t="s">
        <v>734</v>
      </c>
      <c r="D469">
        <v>2</v>
      </c>
      <c r="E469">
        <v>2294.6999999999998</v>
      </c>
      <c r="F469">
        <v>2242.5</v>
      </c>
      <c r="G469">
        <v>747.5</v>
      </c>
      <c r="H469" s="8">
        <f>SUM(sales_data[[#This Row],[rand discount]]/sales_data[[#This Row],[total order total]])</f>
        <v>0.32575064278554933</v>
      </c>
      <c r="I469">
        <v>25</v>
      </c>
      <c r="J469">
        <v>52.2</v>
      </c>
      <c r="K469">
        <v>2990</v>
      </c>
      <c r="L469" t="b">
        <v>0</v>
      </c>
      <c r="M469" s="13">
        <v>1.1708000000000001</v>
      </c>
    </row>
    <row r="470" spans="1:13" x14ac:dyDescent="0.25">
      <c r="A470" s="2">
        <v>43788</v>
      </c>
      <c r="B470" s="1" t="s">
        <v>60</v>
      </c>
      <c r="C470" s="1" t="s">
        <v>61</v>
      </c>
      <c r="D470">
        <v>3</v>
      </c>
      <c r="E470">
        <v>2273.98</v>
      </c>
      <c r="F470">
        <v>2182.5</v>
      </c>
      <c r="G470">
        <v>727.5</v>
      </c>
      <c r="H470" s="8">
        <f>SUM(sales_data[[#This Row],[rand discount]]/sales_data[[#This Row],[total order total]])</f>
        <v>0.3199236580796665</v>
      </c>
      <c r="I470">
        <v>25</v>
      </c>
      <c r="J470">
        <v>91.48</v>
      </c>
      <c r="K470">
        <v>2910</v>
      </c>
      <c r="L470" t="b">
        <v>1</v>
      </c>
      <c r="M470" s="13">
        <v>1.3846000000000001</v>
      </c>
    </row>
    <row r="471" spans="1:13" x14ac:dyDescent="0.25">
      <c r="A471" s="2">
        <v>43537</v>
      </c>
      <c r="B471" s="1" t="s">
        <v>963</v>
      </c>
      <c r="C471" s="1" t="s">
        <v>964</v>
      </c>
      <c r="D471">
        <v>1</v>
      </c>
      <c r="E471">
        <v>2687.01</v>
      </c>
      <c r="F471">
        <v>2619</v>
      </c>
      <c r="G471">
        <v>291</v>
      </c>
      <c r="H471" s="8">
        <f>SUM(sales_data[[#This Row],[rand discount]]/sales_data[[#This Row],[total order total]])</f>
        <v>0.10829881541192626</v>
      </c>
      <c r="I471">
        <v>10</v>
      </c>
      <c r="J471">
        <v>68.010000000000005</v>
      </c>
      <c r="K471">
        <v>2910</v>
      </c>
      <c r="L471" t="b">
        <v>0</v>
      </c>
      <c r="M471" s="13">
        <v>1.7582</v>
      </c>
    </row>
    <row r="472" spans="1:13" x14ac:dyDescent="0.25">
      <c r="A472" s="2">
        <v>43801</v>
      </c>
      <c r="B472" s="1" t="s">
        <v>943</v>
      </c>
      <c r="C472" s="1" t="s">
        <v>944</v>
      </c>
      <c r="D472">
        <v>3</v>
      </c>
      <c r="E472">
        <v>2966.98</v>
      </c>
      <c r="F472">
        <v>2890</v>
      </c>
      <c r="G472">
        <v>0</v>
      </c>
      <c r="H472" s="8">
        <f>SUM(sales_data[[#This Row],[rand discount]]/sales_data[[#This Row],[total order total]])</f>
        <v>0</v>
      </c>
      <c r="I472">
        <v>0</v>
      </c>
      <c r="J472">
        <v>76.98</v>
      </c>
      <c r="K472">
        <v>2890</v>
      </c>
      <c r="L472" t="b">
        <v>0</v>
      </c>
      <c r="M472" s="13">
        <v>1.0137</v>
      </c>
    </row>
    <row r="473" spans="1:13" x14ac:dyDescent="0.25">
      <c r="A473" s="2">
        <v>43600</v>
      </c>
      <c r="B473" s="1" t="s">
        <v>985</v>
      </c>
      <c r="C473" s="1" t="s">
        <v>986</v>
      </c>
      <c r="D473">
        <v>2</v>
      </c>
      <c r="E473">
        <v>2955.07</v>
      </c>
      <c r="F473">
        <v>2890</v>
      </c>
      <c r="G473">
        <v>0</v>
      </c>
      <c r="H473" s="8">
        <f>SUM(sales_data[[#This Row],[rand discount]]/sales_data[[#This Row],[total order total]])</f>
        <v>0</v>
      </c>
      <c r="I473">
        <v>0</v>
      </c>
      <c r="J473">
        <v>65.069999999999993</v>
      </c>
      <c r="K473">
        <v>2890</v>
      </c>
      <c r="L473" t="b">
        <v>1</v>
      </c>
      <c r="M473" s="13">
        <v>1.1722999999999999</v>
      </c>
    </row>
    <row r="474" spans="1:13" x14ac:dyDescent="0.25">
      <c r="A474" s="2">
        <v>43514</v>
      </c>
      <c r="B474" s="1" t="s">
        <v>617</v>
      </c>
      <c r="C474" s="1" t="s">
        <v>618</v>
      </c>
      <c r="D474">
        <v>2</v>
      </c>
      <c r="E474">
        <v>2226.86</v>
      </c>
      <c r="F474">
        <v>2163.75</v>
      </c>
      <c r="G474">
        <v>721.25</v>
      </c>
      <c r="H474" s="8">
        <f>SUM(sales_data[[#This Row],[rand discount]]/sales_data[[#This Row],[total order total]])</f>
        <v>0.32388654877271134</v>
      </c>
      <c r="I474">
        <v>25</v>
      </c>
      <c r="J474">
        <v>63.11</v>
      </c>
      <c r="K474">
        <v>2885</v>
      </c>
      <c r="L474" t="b">
        <v>0</v>
      </c>
      <c r="M474" s="13">
        <v>1.462</v>
      </c>
    </row>
    <row r="475" spans="1:13" x14ac:dyDescent="0.25">
      <c r="A475" s="2">
        <v>43502</v>
      </c>
      <c r="B475" s="1" t="s">
        <v>509</v>
      </c>
      <c r="C475" s="1" t="s">
        <v>510</v>
      </c>
      <c r="D475">
        <v>1</v>
      </c>
      <c r="E475">
        <v>2703.69</v>
      </c>
      <c r="F475">
        <v>2619.15</v>
      </c>
      <c r="G475">
        <v>137.85</v>
      </c>
      <c r="H475" s="8">
        <f>SUM(sales_data[[#This Row],[rand discount]]/sales_data[[#This Row],[total order total]])</f>
        <v>5.0985874859913669E-2</v>
      </c>
      <c r="I475">
        <v>5</v>
      </c>
      <c r="J475">
        <v>84.54</v>
      </c>
      <c r="K475">
        <v>2757</v>
      </c>
      <c r="L475" t="b">
        <v>0</v>
      </c>
      <c r="M475" s="13">
        <v>1.7862</v>
      </c>
    </row>
    <row r="476" spans="1:13" x14ac:dyDescent="0.25">
      <c r="A476" s="2">
        <v>43606</v>
      </c>
      <c r="B476" s="1" t="s">
        <v>798</v>
      </c>
      <c r="C476" s="1" t="s">
        <v>799</v>
      </c>
      <c r="D476">
        <v>2</v>
      </c>
      <c r="E476">
        <v>2454.2800000000002</v>
      </c>
      <c r="F476">
        <v>2389.5</v>
      </c>
      <c r="G476">
        <v>265.5</v>
      </c>
      <c r="H476" s="8">
        <f>SUM(sales_data[[#This Row],[rand discount]]/sales_data[[#This Row],[total order total]])</f>
        <v>0.10817836595661456</v>
      </c>
      <c r="I476">
        <v>10</v>
      </c>
      <c r="J476">
        <v>64.78</v>
      </c>
      <c r="K476">
        <v>2655</v>
      </c>
      <c r="L476" t="b">
        <v>0</v>
      </c>
      <c r="M476" s="13">
        <v>0.66149999999999998</v>
      </c>
    </row>
    <row r="477" spans="1:13" x14ac:dyDescent="0.25">
      <c r="A477" s="2">
        <v>43772</v>
      </c>
      <c r="B477" s="1" t="s">
        <v>619</v>
      </c>
      <c r="C477" s="1" t="s">
        <v>620</v>
      </c>
      <c r="D477">
        <v>2</v>
      </c>
      <c r="E477">
        <v>2714.71</v>
      </c>
      <c r="F477">
        <v>2610</v>
      </c>
      <c r="G477">
        <v>0</v>
      </c>
      <c r="H477" s="8">
        <f>SUM(sales_data[[#This Row],[rand discount]]/sales_data[[#This Row],[total order total]])</f>
        <v>0</v>
      </c>
      <c r="I477">
        <v>0</v>
      </c>
      <c r="J477">
        <v>104.71</v>
      </c>
      <c r="K477">
        <v>2610</v>
      </c>
      <c r="L477" t="b">
        <v>1</v>
      </c>
      <c r="M477" s="13">
        <v>1.3053999999999999</v>
      </c>
    </row>
    <row r="478" spans="1:13" x14ac:dyDescent="0.25">
      <c r="A478" s="2">
        <v>43722</v>
      </c>
      <c r="B478" s="1" t="s">
        <v>163</v>
      </c>
      <c r="C478" s="1" t="s">
        <v>164</v>
      </c>
      <c r="D478">
        <v>1</v>
      </c>
      <c r="E478">
        <v>2690.06</v>
      </c>
      <c r="F478">
        <v>2605</v>
      </c>
      <c r="G478">
        <v>0</v>
      </c>
      <c r="H478" s="8">
        <f>SUM(sales_data[[#This Row],[rand discount]]/sales_data[[#This Row],[total order total]])</f>
        <v>0</v>
      </c>
      <c r="I478">
        <v>0</v>
      </c>
      <c r="J478">
        <v>85.06</v>
      </c>
      <c r="K478">
        <v>2605</v>
      </c>
      <c r="L478" t="b">
        <v>0</v>
      </c>
      <c r="M478" s="13">
        <v>1.8281000000000001</v>
      </c>
    </row>
    <row r="479" spans="1:13" x14ac:dyDescent="0.25">
      <c r="A479" s="2">
        <v>43488</v>
      </c>
      <c r="B479" s="1" t="s">
        <v>523</v>
      </c>
      <c r="C479" s="1" t="s">
        <v>524</v>
      </c>
      <c r="D479">
        <v>1</v>
      </c>
      <c r="E479">
        <v>2291.84</v>
      </c>
      <c r="F479">
        <v>2210</v>
      </c>
      <c r="G479">
        <v>390</v>
      </c>
      <c r="H479" s="8">
        <f>SUM(sales_data[[#This Row],[rand discount]]/sales_data[[#This Row],[total order total]])</f>
        <v>0.17016894722144651</v>
      </c>
      <c r="I479">
        <v>15</v>
      </c>
      <c r="J479">
        <v>81.84</v>
      </c>
      <c r="K479">
        <v>2600</v>
      </c>
      <c r="L479" t="b">
        <v>1</v>
      </c>
      <c r="M479" s="13">
        <v>1.0176000000000001</v>
      </c>
    </row>
    <row r="480" spans="1:13" x14ac:dyDescent="0.25">
      <c r="A480" s="2">
        <v>43489</v>
      </c>
      <c r="B480" s="1" t="s">
        <v>835</v>
      </c>
      <c r="C480" s="1" t="s">
        <v>836</v>
      </c>
      <c r="D480">
        <v>2</v>
      </c>
      <c r="E480">
        <v>2397.8200000000002</v>
      </c>
      <c r="F480">
        <v>2340</v>
      </c>
      <c r="G480">
        <v>260</v>
      </c>
      <c r="H480" s="8">
        <f>SUM(sales_data[[#This Row],[rand discount]]/sales_data[[#This Row],[total order total]])</f>
        <v>0.10843182557489719</v>
      </c>
      <c r="I480">
        <v>10</v>
      </c>
      <c r="J480">
        <v>57.82</v>
      </c>
      <c r="K480">
        <v>2600</v>
      </c>
      <c r="L480" t="b">
        <v>0</v>
      </c>
      <c r="M480" s="13">
        <v>0.81459999999999999</v>
      </c>
    </row>
    <row r="481" spans="1:13" x14ac:dyDescent="0.25">
      <c r="A481" s="2">
        <v>43509</v>
      </c>
      <c r="B481" s="1" t="s">
        <v>241</v>
      </c>
      <c r="C481" s="1" t="s">
        <v>242</v>
      </c>
      <c r="D481">
        <v>3</v>
      </c>
      <c r="E481">
        <v>2214.7600000000002</v>
      </c>
      <c r="F481">
        <v>2146.25</v>
      </c>
      <c r="G481">
        <v>378.75</v>
      </c>
      <c r="H481" s="8">
        <f>SUM(sales_data[[#This Row],[rand discount]]/sales_data[[#This Row],[total order total]])</f>
        <v>0.17101175748162328</v>
      </c>
      <c r="I481">
        <v>15</v>
      </c>
      <c r="J481">
        <v>68.510000000000005</v>
      </c>
      <c r="K481">
        <v>2525</v>
      </c>
      <c r="L481" t="b">
        <v>0</v>
      </c>
      <c r="M481" s="13">
        <v>0.74429999999999996</v>
      </c>
    </row>
    <row r="482" spans="1:13" x14ac:dyDescent="0.25">
      <c r="A482" s="2">
        <v>43510</v>
      </c>
      <c r="B482" s="1" t="s">
        <v>541</v>
      </c>
      <c r="C482" s="1" t="s">
        <v>542</v>
      </c>
      <c r="D482">
        <v>1</v>
      </c>
      <c r="E482">
        <v>1932.41</v>
      </c>
      <c r="F482">
        <v>1860</v>
      </c>
      <c r="G482">
        <v>620</v>
      </c>
      <c r="H482" s="8">
        <f>SUM(sales_data[[#This Row],[rand discount]]/sales_data[[#This Row],[total order total]])</f>
        <v>0.32084288530901828</v>
      </c>
      <c r="I482">
        <v>25</v>
      </c>
      <c r="J482">
        <v>72.41</v>
      </c>
      <c r="K482">
        <v>2480</v>
      </c>
      <c r="L482" t="b">
        <v>0</v>
      </c>
      <c r="M482" s="13">
        <v>66.851200000000006</v>
      </c>
    </row>
    <row r="483" spans="1:13" x14ac:dyDescent="0.25">
      <c r="A483" s="2">
        <v>43690</v>
      </c>
      <c r="B483" s="1" t="s">
        <v>765</v>
      </c>
      <c r="C483" s="1" t="s">
        <v>766</v>
      </c>
      <c r="D483">
        <v>3</v>
      </c>
      <c r="E483">
        <v>2403.89</v>
      </c>
      <c r="F483">
        <v>2332.25</v>
      </c>
      <c r="G483">
        <v>122.75</v>
      </c>
      <c r="H483" s="8">
        <f>SUM(sales_data[[#This Row],[rand discount]]/sales_data[[#This Row],[total order total]])</f>
        <v>5.1063068609628566E-2</v>
      </c>
      <c r="I483">
        <v>5</v>
      </c>
      <c r="J483">
        <v>71.64</v>
      </c>
      <c r="K483">
        <v>2455</v>
      </c>
      <c r="L483" t="b">
        <v>0</v>
      </c>
      <c r="M483" s="13">
        <v>1.8481000000000001</v>
      </c>
    </row>
    <row r="484" spans="1:13" x14ac:dyDescent="0.25">
      <c r="A484" s="2">
        <v>43489</v>
      </c>
      <c r="B484" s="1" t="s">
        <v>778</v>
      </c>
      <c r="C484" s="1" t="s">
        <v>779</v>
      </c>
      <c r="D484">
        <v>2</v>
      </c>
      <c r="E484">
        <v>2409.27</v>
      </c>
      <c r="F484">
        <v>2332.25</v>
      </c>
      <c r="G484">
        <v>122.75</v>
      </c>
      <c r="H484" s="8">
        <f>SUM(sales_data[[#This Row],[rand discount]]/sales_data[[#This Row],[total order total]])</f>
        <v>5.0949042656074243E-2</v>
      </c>
      <c r="I484">
        <v>5</v>
      </c>
      <c r="J484">
        <v>77.02</v>
      </c>
      <c r="K484">
        <v>2455</v>
      </c>
      <c r="L484" t="b">
        <v>1</v>
      </c>
      <c r="M484" s="13">
        <v>0.77949999999999997</v>
      </c>
    </row>
    <row r="485" spans="1:13" x14ac:dyDescent="0.25">
      <c r="A485" s="2">
        <v>43772</v>
      </c>
      <c r="B485" s="1" t="s">
        <v>983</v>
      </c>
      <c r="C485" s="1" t="s">
        <v>984</v>
      </c>
      <c r="D485">
        <v>1</v>
      </c>
      <c r="E485">
        <v>2152.6</v>
      </c>
      <c r="F485">
        <v>2086.75</v>
      </c>
      <c r="G485">
        <v>368.25</v>
      </c>
      <c r="H485" s="8">
        <f>SUM(sales_data[[#This Row],[rand discount]]/sales_data[[#This Row],[total order total]])</f>
        <v>0.17107219176809441</v>
      </c>
      <c r="I485">
        <v>15</v>
      </c>
      <c r="J485">
        <v>65.849999999999994</v>
      </c>
      <c r="K485">
        <v>2455</v>
      </c>
      <c r="L485" t="b">
        <v>0</v>
      </c>
      <c r="M485" s="13">
        <v>1.4137</v>
      </c>
    </row>
    <row r="486" spans="1:13" x14ac:dyDescent="0.25">
      <c r="A486" s="2">
        <v>43493</v>
      </c>
      <c r="B486" s="1" t="s">
        <v>115</v>
      </c>
      <c r="C486" s="1" t="s">
        <v>116</v>
      </c>
      <c r="D486">
        <v>1</v>
      </c>
      <c r="E486">
        <v>2346.86</v>
      </c>
      <c r="F486">
        <v>2270.5</v>
      </c>
      <c r="G486">
        <v>119.5</v>
      </c>
      <c r="H486" s="8">
        <f>SUM(sales_data[[#This Row],[rand discount]]/sales_data[[#This Row],[total order total]])</f>
        <v>5.0919100415022622E-2</v>
      </c>
      <c r="I486">
        <v>5</v>
      </c>
      <c r="J486">
        <v>76.36</v>
      </c>
      <c r="K486">
        <v>2390</v>
      </c>
      <c r="L486" t="b">
        <v>0</v>
      </c>
      <c r="M486" s="13">
        <v>1.1514</v>
      </c>
    </row>
    <row r="487" spans="1:13" x14ac:dyDescent="0.25">
      <c r="A487" s="2">
        <v>43469</v>
      </c>
      <c r="B487" s="1" t="s">
        <v>119</v>
      </c>
      <c r="C487" s="1" t="s">
        <v>120</v>
      </c>
      <c r="D487">
        <v>2</v>
      </c>
      <c r="E487">
        <v>2302.9499999999998</v>
      </c>
      <c r="F487">
        <v>2213.5</v>
      </c>
      <c r="G487">
        <v>116.5</v>
      </c>
      <c r="H487" s="8">
        <f>SUM(sales_data[[#This Row],[rand discount]]/sales_data[[#This Row],[total order total]])</f>
        <v>5.0587290214724599E-2</v>
      </c>
      <c r="I487">
        <v>5</v>
      </c>
      <c r="J487">
        <v>89.45</v>
      </c>
      <c r="K487">
        <v>2330</v>
      </c>
      <c r="L487" t="b">
        <v>1</v>
      </c>
      <c r="M487" s="13">
        <v>0.58630000000000004</v>
      </c>
    </row>
    <row r="488" spans="1:13" x14ac:dyDescent="0.25">
      <c r="A488" s="2">
        <v>43471</v>
      </c>
      <c r="B488" s="1" t="s">
        <v>245</v>
      </c>
      <c r="C488" s="1" t="s">
        <v>246</v>
      </c>
      <c r="D488">
        <v>3</v>
      </c>
      <c r="E488">
        <v>2069.4699999999998</v>
      </c>
      <c r="F488">
        <v>1985.5</v>
      </c>
      <c r="G488">
        <v>104.5</v>
      </c>
      <c r="H488" s="8">
        <f>SUM(sales_data[[#This Row],[rand discount]]/sales_data[[#This Row],[total order total]])</f>
        <v>5.0496020720281046E-2</v>
      </c>
      <c r="I488">
        <v>5</v>
      </c>
      <c r="J488">
        <v>83.97</v>
      </c>
      <c r="K488">
        <v>2090</v>
      </c>
      <c r="L488" t="b">
        <v>0</v>
      </c>
      <c r="M488" s="13">
        <v>1.8898999999999999</v>
      </c>
    </row>
    <row r="489" spans="1:13" x14ac:dyDescent="0.25">
      <c r="A489" s="2">
        <v>43651</v>
      </c>
      <c r="B489" s="1" t="s">
        <v>367</v>
      </c>
      <c r="C489" s="1" t="s">
        <v>368</v>
      </c>
      <c r="D489">
        <v>3</v>
      </c>
      <c r="E489">
        <v>2160.12</v>
      </c>
      <c r="F489">
        <v>2085</v>
      </c>
      <c r="G489">
        <v>0</v>
      </c>
      <c r="H489" s="8">
        <f>SUM(sales_data[[#This Row],[rand discount]]/sales_data[[#This Row],[total order total]])</f>
        <v>0</v>
      </c>
      <c r="I489">
        <v>0</v>
      </c>
      <c r="J489">
        <v>75.12</v>
      </c>
      <c r="K489">
        <v>2085</v>
      </c>
      <c r="L489" t="b">
        <v>1</v>
      </c>
      <c r="M489" s="13">
        <v>0.73909999999999998</v>
      </c>
    </row>
    <row r="490" spans="1:13" x14ac:dyDescent="0.25">
      <c r="A490" s="2">
        <v>43762</v>
      </c>
      <c r="B490" s="1" t="s">
        <v>955</v>
      </c>
      <c r="C490" s="1" t="s">
        <v>956</v>
      </c>
      <c r="D490">
        <v>2</v>
      </c>
      <c r="E490">
        <v>1961.42</v>
      </c>
      <c r="F490">
        <v>1876.5</v>
      </c>
      <c r="G490">
        <v>208.5</v>
      </c>
      <c r="H490" s="8">
        <f>SUM(sales_data[[#This Row],[rand discount]]/sales_data[[#This Row],[total order total]])</f>
        <v>0.10630053736578601</v>
      </c>
      <c r="I490">
        <v>10</v>
      </c>
      <c r="J490">
        <v>84.92</v>
      </c>
      <c r="K490">
        <v>2085</v>
      </c>
      <c r="L490" t="b">
        <v>0</v>
      </c>
      <c r="M490" s="13">
        <v>1.7652000000000001</v>
      </c>
    </row>
    <row r="491" spans="1:13" x14ac:dyDescent="0.25">
      <c r="A491" s="2">
        <v>43555</v>
      </c>
      <c r="B491" s="1" t="s">
        <v>281</v>
      </c>
      <c r="C491" s="1" t="s">
        <v>282</v>
      </c>
      <c r="D491">
        <v>2</v>
      </c>
      <c r="E491">
        <v>1726.4</v>
      </c>
      <c r="F491">
        <v>1660</v>
      </c>
      <c r="G491">
        <v>0</v>
      </c>
      <c r="H491" s="8">
        <f>SUM(sales_data[[#This Row],[rand discount]]/sales_data[[#This Row],[total order total]])</f>
        <v>0</v>
      </c>
      <c r="I491">
        <v>0</v>
      </c>
      <c r="J491">
        <v>66.400000000000006</v>
      </c>
      <c r="K491">
        <v>1660</v>
      </c>
      <c r="L491" t="b">
        <v>0</v>
      </c>
      <c r="M491" s="13">
        <v>1.0449999999999999</v>
      </c>
    </row>
    <row r="492" spans="1:13" x14ac:dyDescent="0.25">
      <c r="A492" s="2">
        <v>43605</v>
      </c>
      <c r="B492" s="1" t="s">
        <v>587</v>
      </c>
      <c r="C492" s="1" t="s">
        <v>588</v>
      </c>
      <c r="D492">
        <v>3</v>
      </c>
      <c r="E492">
        <v>1628.82</v>
      </c>
      <c r="F492">
        <v>1577</v>
      </c>
      <c r="G492">
        <v>83</v>
      </c>
      <c r="H492" s="8">
        <f>SUM(sales_data[[#This Row],[rand discount]]/sales_data[[#This Row],[total order total]])</f>
        <v>5.0957134612787176E-2</v>
      </c>
      <c r="I492">
        <v>5</v>
      </c>
      <c r="J492">
        <v>51.82</v>
      </c>
      <c r="K492">
        <v>1660</v>
      </c>
      <c r="L492" t="b">
        <v>0</v>
      </c>
      <c r="M492" s="13">
        <v>1.2266999999999999</v>
      </c>
    </row>
    <row r="493" spans="1:13" x14ac:dyDescent="0.25">
      <c r="A493" s="2">
        <v>43661</v>
      </c>
      <c r="B493" s="1" t="s">
        <v>44</v>
      </c>
      <c r="C493" s="1" t="s">
        <v>45</v>
      </c>
      <c r="D493">
        <v>2</v>
      </c>
      <c r="E493">
        <v>1304.52</v>
      </c>
      <c r="F493">
        <v>1241.25</v>
      </c>
      <c r="G493">
        <v>413.75</v>
      </c>
      <c r="H493" s="8">
        <f>SUM(sales_data[[#This Row],[rand discount]]/sales_data[[#This Row],[total order total]])</f>
        <v>0.31716646735964188</v>
      </c>
      <c r="I493">
        <v>25</v>
      </c>
      <c r="J493">
        <v>63.27</v>
      </c>
      <c r="K493">
        <v>1655</v>
      </c>
      <c r="L493" t="b">
        <v>0</v>
      </c>
      <c r="M493" s="13">
        <v>0.52500000000000002</v>
      </c>
    </row>
    <row r="494" spans="1:13" x14ac:dyDescent="0.25">
      <c r="A494" s="2">
        <v>43728</v>
      </c>
      <c r="B494" s="1" t="s">
        <v>953</v>
      </c>
      <c r="C494" s="1" t="s">
        <v>954</v>
      </c>
      <c r="D494">
        <v>1</v>
      </c>
      <c r="E494">
        <v>1482.41</v>
      </c>
      <c r="F494">
        <v>1376.15</v>
      </c>
      <c r="G494">
        <v>242.85</v>
      </c>
      <c r="H494" s="8">
        <f>SUM(sales_data[[#This Row],[rand discount]]/sales_data[[#This Row],[total order total]])</f>
        <v>0.16382107514115526</v>
      </c>
      <c r="I494">
        <v>15</v>
      </c>
      <c r="J494">
        <v>106.26</v>
      </c>
      <c r="K494">
        <v>1619</v>
      </c>
      <c r="L494" t="b">
        <v>1</v>
      </c>
      <c r="M494" s="13">
        <v>1.5098</v>
      </c>
    </row>
    <row r="495" spans="1:13" x14ac:dyDescent="0.25">
      <c r="A495" s="2">
        <v>43694</v>
      </c>
      <c r="B495" s="1" t="s">
        <v>782</v>
      </c>
      <c r="C495" s="1" t="s">
        <v>783</v>
      </c>
      <c r="D495">
        <v>2</v>
      </c>
      <c r="E495">
        <v>1601.29</v>
      </c>
      <c r="F495">
        <v>1525</v>
      </c>
      <c r="G495">
        <v>0</v>
      </c>
      <c r="H495" s="8">
        <f>SUM(sales_data[[#This Row],[rand discount]]/sales_data[[#This Row],[total order total]])</f>
        <v>0</v>
      </c>
      <c r="I495">
        <v>0</v>
      </c>
      <c r="J495">
        <v>76.290000000000006</v>
      </c>
      <c r="K495">
        <v>1525</v>
      </c>
      <c r="L495" t="b">
        <v>1</v>
      </c>
      <c r="M495" s="13">
        <v>0.7873</v>
      </c>
    </row>
    <row r="496" spans="1:13" x14ac:dyDescent="0.25">
      <c r="A496" s="2">
        <v>43516</v>
      </c>
      <c r="B496" s="1" t="s">
        <v>870</v>
      </c>
      <c r="C496" s="1" t="s">
        <v>871</v>
      </c>
      <c r="D496">
        <v>3</v>
      </c>
      <c r="E496">
        <v>1102.79</v>
      </c>
      <c r="F496">
        <v>1035</v>
      </c>
      <c r="G496">
        <v>345</v>
      </c>
      <c r="H496" s="8">
        <f>SUM(sales_data[[#This Row],[rand discount]]/sales_data[[#This Row],[total order total]])</f>
        <v>0.31284288033079738</v>
      </c>
      <c r="I496">
        <v>25</v>
      </c>
      <c r="J496">
        <v>67.790000000000006</v>
      </c>
      <c r="K496">
        <v>1380</v>
      </c>
      <c r="L496" t="b">
        <v>0</v>
      </c>
      <c r="M496" s="13">
        <v>20.895199999999999</v>
      </c>
    </row>
    <row r="497" spans="1:13" x14ac:dyDescent="0.25">
      <c r="A497" s="2">
        <v>43711</v>
      </c>
      <c r="B497" s="1" t="s">
        <v>353</v>
      </c>
      <c r="C497" s="1" t="s">
        <v>354</v>
      </c>
      <c r="D497">
        <v>2</v>
      </c>
      <c r="E497">
        <v>961.91</v>
      </c>
      <c r="F497">
        <v>858.5</v>
      </c>
      <c r="G497">
        <v>151.5</v>
      </c>
      <c r="H497" s="8">
        <f>SUM(sales_data[[#This Row],[rand discount]]/sales_data[[#This Row],[total order total]])</f>
        <v>0.15749914233140316</v>
      </c>
      <c r="I497">
        <v>15</v>
      </c>
      <c r="J497">
        <v>103.41</v>
      </c>
      <c r="K497">
        <v>1010</v>
      </c>
      <c r="L497" t="b">
        <v>1</v>
      </c>
      <c r="M497" s="13">
        <v>1.1413</v>
      </c>
    </row>
    <row r="498" spans="1:13" x14ac:dyDescent="0.25">
      <c r="A498" s="2">
        <v>43568</v>
      </c>
      <c r="B498" s="1" t="s">
        <v>395</v>
      </c>
      <c r="C498" s="1" t="s">
        <v>396</v>
      </c>
      <c r="D498">
        <v>2</v>
      </c>
      <c r="E498">
        <v>1072.3</v>
      </c>
      <c r="F498">
        <v>1010</v>
      </c>
      <c r="G498">
        <v>0</v>
      </c>
      <c r="H498" s="8">
        <f>SUM(sales_data[[#This Row],[rand discount]]/sales_data[[#This Row],[total order total]])</f>
        <v>0</v>
      </c>
      <c r="I498">
        <v>0</v>
      </c>
      <c r="J498">
        <v>62.3</v>
      </c>
      <c r="K498">
        <v>1010</v>
      </c>
      <c r="L498" t="b">
        <v>0</v>
      </c>
      <c r="M498" s="13">
        <v>0.10780000000000001</v>
      </c>
    </row>
    <row r="499" spans="1:13" x14ac:dyDescent="0.25">
      <c r="A499" s="2">
        <v>43717</v>
      </c>
      <c r="B499" s="1" t="s">
        <v>845</v>
      </c>
      <c r="C499" s="1" t="s">
        <v>846</v>
      </c>
      <c r="D499">
        <v>2</v>
      </c>
      <c r="E499">
        <v>915</v>
      </c>
      <c r="F499">
        <v>858.5</v>
      </c>
      <c r="G499">
        <v>151.5</v>
      </c>
      <c r="H499" s="8">
        <f>SUM(sales_data[[#This Row],[rand discount]]/sales_data[[#This Row],[total order total]])</f>
        <v>0.16557377049180327</v>
      </c>
      <c r="I499">
        <v>15</v>
      </c>
      <c r="J499">
        <v>56.5</v>
      </c>
      <c r="K499">
        <v>1010</v>
      </c>
      <c r="L499" t="b">
        <v>0</v>
      </c>
      <c r="M499" s="13">
        <v>0.22159999999999999</v>
      </c>
    </row>
    <row r="500" spans="1:13" x14ac:dyDescent="0.25">
      <c r="A500" s="2">
        <v>43735</v>
      </c>
      <c r="B500" s="1" t="s">
        <v>605</v>
      </c>
      <c r="C500" s="1" t="s">
        <v>606</v>
      </c>
      <c r="D500">
        <v>2</v>
      </c>
      <c r="E500">
        <v>765.58</v>
      </c>
      <c r="F500">
        <v>657</v>
      </c>
      <c r="G500">
        <v>73</v>
      </c>
      <c r="H500" s="8">
        <f>SUM(sales_data[[#This Row],[rand discount]]/sales_data[[#This Row],[total order total]])</f>
        <v>9.5352543169884271E-2</v>
      </c>
      <c r="I500">
        <v>10</v>
      </c>
      <c r="J500">
        <v>108.58</v>
      </c>
      <c r="K500">
        <v>730</v>
      </c>
      <c r="L500" t="b">
        <v>1</v>
      </c>
      <c r="M500" s="13">
        <v>1.6767000000000001</v>
      </c>
    </row>
    <row r="501" spans="1:13" x14ac:dyDescent="0.25">
      <c r="A501" s="2">
        <v>43792</v>
      </c>
      <c r="B501" s="1" t="s">
        <v>627</v>
      </c>
      <c r="C501" s="1" t="s">
        <v>628</v>
      </c>
      <c r="D501">
        <v>3</v>
      </c>
      <c r="E501">
        <v>530.54</v>
      </c>
      <c r="F501">
        <v>438.75</v>
      </c>
      <c r="G501">
        <v>146.25</v>
      </c>
      <c r="H501" s="8">
        <f>SUM(sales_data[[#This Row],[rand discount]]/sales_data[[#This Row],[total order total]])</f>
        <v>0.27566253251404232</v>
      </c>
      <c r="I501">
        <v>25</v>
      </c>
      <c r="J501">
        <v>91.79</v>
      </c>
      <c r="K501">
        <v>585</v>
      </c>
      <c r="L501" t="b">
        <v>1</v>
      </c>
      <c r="M501" s="13">
        <v>1.361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FAAD8-6B47-45E6-919D-2AFF7365329C}">
  <sheetPr codeName="Sheet4"/>
  <dimension ref="A1:E366"/>
  <sheetViews>
    <sheetView workbookViewId="0">
      <selection activeCell="B12" sqref="B12"/>
    </sheetView>
  </sheetViews>
  <sheetFormatPr defaultRowHeight="15" x14ac:dyDescent="0.25"/>
  <cols>
    <col min="1" max="1" width="10.7109375" bestFit="1" customWidth="1"/>
    <col min="2" max="2" width="7.28515625" bestFit="1" customWidth="1"/>
    <col min="3" max="3" width="9.28515625" bestFit="1" customWidth="1"/>
    <col min="4" max="4" width="15" bestFit="1" customWidth="1"/>
    <col min="5" max="5" width="10.140625" bestFit="1" customWidth="1"/>
  </cols>
  <sheetData>
    <row r="1" spans="1:5" x14ac:dyDescent="0.25">
      <c r="A1" t="s">
        <v>2</v>
      </c>
      <c r="B1" t="s">
        <v>1008</v>
      </c>
      <c r="C1" t="s">
        <v>1009</v>
      </c>
      <c r="D1" t="s">
        <v>1010</v>
      </c>
      <c r="E1" t="s">
        <v>1011</v>
      </c>
    </row>
    <row r="2" spans="1:5" x14ac:dyDescent="0.25">
      <c r="A2" s="2">
        <v>43466</v>
      </c>
      <c r="B2">
        <v>2019</v>
      </c>
      <c r="C2">
        <v>1</v>
      </c>
      <c r="D2" s="1" t="s">
        <v>1012</v>
      </c>
      <c r="E2" s="1" t="s">
        <v>1013</v>
      </c>
    </row>
    <row r="3" spans="1:5" x14ac:dyDescent="0.25">
      <c r="A3" s="2">
        <v>43467</v>
      </c>
      <c r="B3">
        <v>2019</v>
      </c>
      <c r="C3">
        <v>1</v>
      </c>
      <c r="D3" s="1" t="s">
        <v>1012</v>
      </c>
      <c r="E3" s="1" t="s">
        <v>1013</v>
      </c>
    </row>
    <row r="4" spans="1:5" x14ac:dyDescent="0.25">
      <c r="A4" s="2">
        <v>43468</v>
      </c>
      <c r="B4">
        <v>2019</v>
      </c>
      <c r="C4">
        <v>1</v>
      </c>
      <c r="D4" s="1" t="s">
        <v>1012</v>
      </c>
      <c r="E4" s="1" t="s">
        <v>1013</v>
      </c>
    </row>
    <row r="5" spans="1:5" x14ac:dyDescent="0.25">
      <c r="A5" s="2">
        <v>43469</v>
      </c>
      <c r="B5">
        <v>2019</v>
      </c>
      <c r="C5">
        <v>1</v>
      </c>
      <c r="D5" s="1" t="s">
        <v>1012</v>
      </c>
      <c r="E5" s="1" t="s">
        <v>1013</v>
      </c>
    </row>
    <row r="6" spans="1:5" x14ac:dyDescent="0.25">
      <c r="A6" s="2">
        <v>43470</v>
      </c>
      <c r="B6">
        <v>2019</v>
      </c>
      <c r="C6">
        <v>1</v>
      </c>
      <c r="D6" s="1" t="s">
        <v>1012</v>
      </c>
      <c r="E6" s="1" t="s">
        <v>1013</v>
      </c>
    </row>
    <row r="7" spans="1:5" x14ac:dyDescent="0.25">
      <c r="A7" s="2">
        <v>43471</v>
      </c>
      <c r="B7">
        <v>2019</v>
      </c>
      <c r="C7">
        <v>1</v>
      </c>
      <c r="D7" s="1" t="s">
        <v>1012</v>
      </c>
      <c r="E7" s="1" t="s">
        <v>1013</v>
      </c>
    </row>
    <row r="8" spans="1:5" x14ac:dyDescent="0.25">
      <c r="A8" s="2">
        <v>43472</v>
      </c>
      <c r="B8">
        <v>2019</v>
      </c>
      <c r="C8">
        <v>1</v>
      </c>
      <c r="D8" s="1" t="s">
        <v>1012</v>
      </c>
      <c r="E8" s="1" t="s">
        <v>1013</v>
      </c>
    </row>
    <row r="9" spans="1:5" x14ac:dyDescent="0.25">
      <c r="A9" s="2">
        <v>43473</v>
      </c>
      <c r="B9">
        <v>2019</v>
      </c>
      <c r="C9">
        <v>1</v>
      </c>
      <c r="D9" s="1" t="s">
        <v>1012</v>
      </c>
      <c r="E9" s="1" t="s">
        <v>1013</v>
      </c>
    </row>
    <row r="10" spans="1:5" x14ac:dyDescent="0.25">
      <c r="A10" s="2">
        <v>43474</v>
      </c>
      <c r="B10">
        <v>2019</v>
      </c>
      <c r="C10">
        <v>1</v>
      </c>
      <c r="D10" s="1" t="s">
        <v>1012</v>
      </c>
      <c r="E10" s="1" t="s">
        <v>1013</v>
      </c>
    </row>
    <row r="11" spans="1:5" x14ac:dyDescent="0.25">
      <c r="A11" s="2">
        <v>43475</v>
      </c>
      <c r="B11">
        <v>2019</v>
      </c>
      <c r="C11">
        <v>1</v>
      </c>
      <c r="D11" s="1" t="s">
        <v>1012</v>
      </c>
      <c r="E11" s="1" t="s">
        <v>1013</v>
      </c>
    </row>
    <row r="12" spans="1:5" x14ac:dyDescent="0.25">
      <c r="A12" s="2">
        <v>43476</v>
      </c>
      <c r="B12">
        <v>2019</v>
      </c>
      <c r="C12">
        <v>1</v>
      </c>
      <c r="D12" s="1" t="s">
        <v>1012</v>
      </c>
      <c r="E12" s="1" t="s">
        <v>1013</v>
      </c>
    </row>
    <row r="13" spans="1:5" x14ac:dyDescent="0.25">
      <c r="A13" s="2">
        <v>43477</v>
      </c>
      <c r="B13">
        <v>2019</v>
      </c>
      <c r="C13">
        <v>1</v>
      </c>
      <c r="D13" s="1" t="s">
        <v>1012</v>
      </c>
      <c r="E13" s="1" t="s">
        <v>1013</v>
      </c>
    </row>
    <row r="14" spans="1:5" x14ac:dyDescent="0.25">
      <c r="A14" s="2">
        <v>43478</v>
      </c>
      <c r="B14">
        <v>2019</v>
      </c>
      <c r="C14">
        <v>1</v>
      </c>
      <c r="D14" s="1" t="s">
        <v>1012</v>
      </c>
      <c r="E14" s="1" t="s">
        <v>1013</v>
      </c>
    </row>
    <row r="15" spans="1:5" x14ac:dyDescent="0.25">
      <c r="A15" s="2">
        <v>43479</v>
      </c>
      <c r="B15">
        <v>2019</v>
      </c>
      <c r="C15">
        <v>1</v>
      </c>
      <c r="D15" s="1" t="s">
        <v>1012</v>
      </c>
      <c r="E15" s="1" t="s">
        <v>1013</v>
      </c>
    </row>
    <row r="16" spans="1:5" x14ac:dyDescent="0.25">
      <c r="A16" s="2">
        <v>43480</v>
      </c>
      <c r="B16">
        <v>2019</v>
      </c>
      <c r="C16">
        <v>1</v>
      </c>
      <c r="D16" s="1" t="s">
        <v>1012</v>
      </c>
      <c r="E16" s="1" t="s">
        <v>1013</v>
      </c>
    </row>
    <row r="17" spans="1:5" x14ac:dyDescent="0.25">
      <c r="A17" s="2">
        <v>43481</v>
      </c>
      <c r="B17">
        <v>2019</v>
      </c>
      <c r="C17">
        <v>1</v>
      </c>
      <c r="D17" s="1" t="s">
        <v>1012</v>
      </c>
      <c r="E17" s="1" t="s">
        <v>1013</v>
      </c>
    </row>
    <row r="18" spans="1:5" x14ac:dyDescent="0.25">
      <c r="A18" s="2">
        <v>43482</v>
      </c>
      <c r="B18">
        <v>2019</v>
      </c>
      <c r="C18">
        <v>1</v>
      </c>
      <c r="D18" s="1" t="s">
        <v>1012</v>
      </c>
      <c r="E18" s="1" t="s">
        <v>1013</v>
      </c>
    </row>
    <row r="19" spans="1:5" x14ac:dyDescent="0.25">
      <c r="A19" s="2">
        <v>43483</v>
      </c>
      <c r="B19">
        <v>2019</v>
      </c>
      <c r="C19">
        <v>1</v>
      </c>
      <c r="D19" s="1" t="s">
        <v>1012</v>
      </c>
      <c r="E19" s="1" t="s">
        <v>1013</v>
      </c>
    </row>
    <row r="20" spans="1:5" x14ac:dyDescent="0.25">
      <c r="A20" s="2">
        <v>43484</v>
      </c>
      <c r="B20">
        <v>2019</v>
      </c>
      <c r="C20">
        <v>1</v>
      </c>
      <c r="D20" s="1" t="s">
        <v>1012</v>
      </c>
      <c r="E20" s="1" t="s">
        <v>1013</v>
      </c>
    </row>
    <row r="21" spans="1:5" x14ac:dyDescent="0.25">
      <c r="A21" s="2">
        <v>43485</v>
      </c>
      <c r="B21">
        <v>2019</v>
      </c>
      <c r="C21">
        <v>1</v>
      </c>
      <c r="D21" s="1" t="s">
        <v>1012</v>
      </c>
      <c r="E21" s="1" t="s">
        <v>1013</v>
      </c>
    </row>
    <row r="22" spans="1:5" x14ac:dyDescent="0.25">
      <c r="A22" s="2">
        <v>43486</v>
      </c>
      <c r="B22">
        <v>2019</v>
      </c>
      <c r="C22">
        <v>1</v>
      </c>
      <c r="D22" s="1" t="s">
        <v>1012</v>
      </c>
      <c r="E22" s="1" t="s">
        <v>1013</v>
      </c>
    </row>
    <row r="23" spans="1:5" x14ac:dyDescent="0.25">
      <c r="A23" s="2">
        <v>43487</v>
      </c>
      <c r="B23">
        <v>2019</v>
      </c>
      <c r="C23">
        <v>1</v>
      </c>
      <c r="D23" s="1" t="s">
        <v>1012</v>
      </c>
      <c r="E23" s="1" t="s">
        <v>1013</v>
      </c>
    </row>
    <row r="24" spans="1:5" x14ac:dyDescent="0.25">
      <c r="A24" s="2">
        <v>43488</v>
      </c>
      <c r="B24">
        <v>2019</v>
      </c>
      <c r="C24">
        <v>1</v>
      </c>
      <c r="D24" s="1" t="s">
        <v>1012</v>
      </c>
      <c r="E24" s="1" t="s">
        <v>1013</v>
      </c>
    </row>
    <row r="25" spans="1:5" x14ac:dyDescent="0.25">
      <c r="A25" s="2">
        <v>43489</v>
      </c>
      <c r="B25">
        <v>2019</v>
      </c>
      <c r="C25">
        <v>1</v>
      </c>
      <c r="D25" s="1" t="s">
        <v>1012</v>
      </c>
      <c r="E25" s="1" t="s">
        <v>1013</v>
      </c>
    </row>
    <row r="26" spans="1:5" x14ac:dyDescent="0.25">
      <c r="A26" s="2">
        <v>43490</v>
      </c>
      <c r="B26">
        <v>2019</v>
      </c>
      <c r="C26">
        <v>1</v>
      </c>
      <c r="D26" s="1" t="s">
        <v>1012</v>
      </c>
      <c r="E26" s="1" t="s">
        <v>1013</v>
      </c>
    </row>
    <row r="27" spans="1:5" x14ac:dyDescent="0.25">
      <c r="A27" s="2">
        <v>43491</v>
      </c>
      <c r="B27">
        <v>2019</v>
      </c>
      <c r="C27">
        <v>1</v>
      </c>
      <c r="D27" s="1" t="s">
        <v>1012</v>
      </c>
      <c r="E27" s="1" t="s">
        <v>1013</v>
      </c>
    </row>
    <row r="28" spans="1:5" x14ac:dyDescent="0.25">
      <c r="A28" s="2">
        <v>43492</v>
      </c>
      <c r="B28">
        <v>2019</v>
      </c>
      <c r="C28">
        <v>1</v>
      </c>
      <c r="D28" s="1" t="s">
        <v>1012</v>
      </c>
      <c r="E28" s="1" t="s">
        <v>1013</v>
      </c>
    </row>
    <row r="29" spans="1:5" x14ac:dyDescent="0.25">
      <c r="A29" s="2">
        <v>43493</v>
      </c>
      <c r="B29">
        <v>2019</v>
      </c>
      <c r="C29">
        <v>1</v>
      </c>
      <c r="D29" s="1" t="s">
        <v>1012</v>
      </c>
      <c r="E29" s="1" t="s">
        <v>1013</v>
      </c>
    </row>
    <row r="30" spans="1:5" x14ac:dyDescent="0.25">
      <c r="A30" s="2">
        <v>43494</v>
      </c>
      <c r="B30">
        <v>2019</v>
      </c>
      <c r="C30">
        <v>1</v>
      </c>
      <c r="D30" s="1" t="s">
        <v>1012</v>
      </c>
      <c r="E30" s="1" t="s">
        <v>1013</v>
      </c>
    </row>
    <row r="31" spans="1:5" x14ac:dyDescent="0.25">
      <c r="A31" s="2">
        <v>43495</v>
      </c>
      <c r="B31">
        <v>2019</v>
      </c>
      <c r="C31">
        <v>1</v>
      </c>
      <c r="D31" s="1" t="s">
        <v>1012</v>
      </c>
      <c r="E31" s="1" t="s">
        <v>1013</v>
      </c>
    </row>
    <row r="32" spans="1:5" x14ac:dyDescent="0.25">
      <c r="A32" s="2">
        <v>43496</v>
      </c>
      <c r="B32">
        <v>2019</v>
      </c>
      <c r="C32">
        <v>1</v>
      </c>
      <c r="D32" s="1" t="s">
        <v>1012</v>
      </c>
      <c r="E32" s="1" t="s">
        <v>1013</v>
      </c>
    </row>
    <row r="33" spans="1:5" x14ac:dyDescent="0.25">
      <c r="A33" s="2">
        <v>43497</v>
      </c>
      <c r="B33">
        <v>2019</v>
      </c>
      <c r="C33">
        <v>2</v>
      </c>
      <c r="D33" s="1" t="s">
        <v>1014</v>
      </c>
      <c r="E33" s="1" t="s">
        <v>1013</v>
      </c>
    </row>
    <row r="34" spans="1:5" x14ac:dyDescent="0.25">
      <c r="A34" s="2">
        <v>43498</v>
      </c>
      <c r="B34">
        <v>2019</v>
      </c>
      <c r="C34">
        <v>2</v>
      </c>
      <c r="D34" s="1" t="s">
        <v>1014</v>
      </c>
      <c r="E34" s="1" t="s">
        <v>1013</v>
      </c>
    </row>
    <row r="35" spans="1:5" x14ac:dyDescent="0.25">
      <c r="A35" s="2">
        <v>43499</v>
      </c>
      <c r="B35">
        <v>2019</v>
      </c>
      <c r="C35">
        <v>2</v>
      </c>
      <c r="D35" s="1" t="s">
        <v>1014</v>
      </c>
      <c r="E35" s="1" t="s">
        <v>1013</v>
      </c>
    </row>
    <row r="36" spans="1:5" x14ac:dyDescent="0.25">
      <c r="A36" s="2">
        <v>43500</v>
      </c>
      <c r="B36">
        <v>2019</v>
      </c>
      <c r="C36">
        <v>2</v>
      </c>
      <c r="D36" s="1" t="s">
        <v>1014</v>
      </c>
      <c r="E36" s="1" t="s">
        <v>1013</v>
      </c>
    </row>
    <row r="37" spans="1:5" x14ac:dyDescent="0.25">
      <c r="A37" s="2">
        <v>43501</v>
      </c>
      <c r="B37">
        <v>2019</v>
      </c>
      <c r="C37">
        <v>2</v>
      </c>
      <c r="D37" s="1" t="s">
        <v>1014</v>
      </c>
      <c r="E37" s="1" t="s">
        <v>1013</v>
      </c>
    </row>
    <row r="38" spans="1:5" x14ac:dyDescent="0.25">
      <c r="A38" s="2">
        <v>43502</v>
      </c>
      <c r="B38">
        <v>2019</v>
      </c>
      <c r="C38">
        <v>2</v>
      </c>
      <c r="D38" s="1" t="s">
        <v>1014</v>
      </c>
      <c r="E38" s="1" t="s">
        <v>1013</v>
      </c>
    </row>
    <row r="39" spans="1:5" x14ac:dyDescent="0.25">
      <c r="A39" s="2">
        <v>43503</v>
      </c>
      <c r="B39">
        <v>2019</v>
      </c>
      <c r="C39">
        <v>2</v>
      </c>
      <c r="D39" s="1" t="s">
        <v>1014</v>
      </c>
      <c r="E39" s="1" t="s">
        <v>1013</v>
      </c>
    </row>
    <row r="40" spans="1:5" x14ac:dyDescent="0.25">
      <c r="A40" s="2">
        <v>43504</v>
      </c>
      <c r="B40">
        <v>2019</v>
      </c>
      <c r="C40">
        <v>2</v>
      </c>
      <c r="D40" s="1" t="s">
        <v>1014</v>
      </c>
      <c r="E40" s="1" t="s">
        <v>1013</v>
      </c>
    </row>
    <row r="41" spans="1:5" x14ac:dyDescent="0.25">
      <c r="A41" s="2">
        <v>43505</v>
      </c>
      <c r="B41">
        <v>2019</v>
      </c>
      <c r="C41">
        <v>2</v>
      </c>
      <c r="D41" s="1" t="s">
        <v>1014</v>
      </c>
      <c r="E41" s="1" t="s">
        <v>1013</v>
      </c>
    </row>
    <row r="42" spans="1:5" x14ac:dyDescent="0.25">
      <c r="A42" s="2">
        <v>43506</v>
      </c>
      <c r="B42">
        <v>2019</v>
      </c>
      <c r="C42">
        <v>2</v>
      </c>
      <c r="D42" s="1" t="s">
        <v>1014</v>
      </c>
      <c r="E42" s="1" t="s">
        <v>1013</v>
      </c>
    </row>
    <row r="43" spans="1:5" x14ac:dyDescent="0.25">
      <c r="A43" s="2">
        <v>43507</v>
      </c>
      <c r="B43">
        <v>2019</v>
      </c>
      <c r="C43">
        <v>2</v>
      </c>
      <c r="D43" s="1" t="s">
        <v>1014</v>
      </c>
      <c r="E43" s="1" t="s">
        <v>1013</v>
      </c>
    </row>
    <row r="44" spans="1:5" x14ac:dyDescent="0.25">
      <c r="A44" s="2">
        <v>43508</v>
      </c>
      <c r="B44">
        <v>2019</v>
      </c>
      <c r="C44">
        <v>2</v>
      </c>
      <c r="D44" s="1" t="s">
        <v>1014</v>
      </c>
      <c r="E44" s="1" t="s">
        <v>1013</v>
      </c>
    </row>
    <row r="45" spans="1:5" x14ac:dyDescent="0.25">
      <c r="A45" s="2">
        <v>43509</v>
      </c>
      <c r="B45">
        <v>2019</v>
      </c>
      <c r="C45">
        <v>2</v>
      </c>
      <c r="D45" s="1" t="s">
        <v>1014</v>
      </c>
      <c r="E45" s="1" t="s">
        <v>1013</v>
      </c>
    </row>
    <row r="46" spans="1:5" x14ac:dyDescent="0.25">
      <c r="A46" s="2">
        <v>43510</v>
      </c>
      <c r="B46">
        <v>2019</v>
      </c>
      <c r="C46">
        <v>2</v>
      </c>
      <c r="D46" s="1" t="s">
        <v>1014</v>
      </c>
      <c r="E46" s="1" t="s">
        <v>1013</v>
      </c>
    </row>
    <row r="47" spans="1:5" x14ac:dyDescent="0.25">
      <c r="A47" s="2">
        <v>43511</v>
      </c>
      <c r="B47">
        <v>2019</v>
      </c>
      <c r="C47">
        <v>2</v>
      </c>
      <c r="D47" s="1" t="s">
        <v>1014</v>
      </c>
      <c r="E47" s="1" t="s">
        <v>1013</v>
      </c>
    </row>
    <row r="48" spans="1:5" x14ac:dyDescent="0.25">
      <c r="A48" s="2">
        <v>43512</v>
      </c>
      <c r="B48">
        <v>2019</v>
      </c>
      <c r="C48">
        <v>2</v>
      </c>
      <c r="D48" s="1" t="s">
        <v>1014</v>
      </c>
      <c r="E48" s="1" t="s">
        <v>1013</v>
      </c>
    </row>
    <row r="49" spans="1:5" x14ac:dyDescent="0.25">
      <c r="A49" s="2">
        <v>43513</v>
      </c>
      <c r="B49">
        <v>2019</v>
      </c>
      <c r="C49">
        <v>2</v>
      </c>
      <c r="D49" s="1" t="s">
        <v>1014</v>
      </c>
      <c r="E49" s="1" t="s">
        <v>1013</v>
      </c>
    </row>
    <row r="50" spans="1:5" x14ac:dyDescent="0.25">
      <c r="A50" s="2">
        <v>43514</v>
      </c>
      <c r="B50">
        <v>2019</v>
      </c>
      <c r="C50">
        <v>2</v>
      </c>
      <c r="D50" s="1" t="s">
        <v>1014</v>
      </c>
      <c r="E50" s="1" t="s">
        <v>1013</v>
      </c>
    </row>
    <row r="51" spans="1:5" x14ac:dyDescent="0.25">
      <c r="A51" s="2">
        <v>43515</v>
      </c>
      <c r="B51">
        <v>2019</v>
      </c>
      <c r="C51">
        <v>2</v>
      </c>
      <c r="D51" s="1" t="s">
        <v>1014</v>
      </c>
      <c r="E51" s="1" t="s">
        <v>1013</v>
      </c>
    </row>
    <row r="52" spans="1:5" x14ac:dyDescent="0.25">
      <c r="A52" s="2">
        <v>43516</v>
      </c>
      <c r="B52">
        <v>2019</v>
      </c>
      <c r="C52">
        <v>2</v>
      </c>
      <c r="D52" s="1" t="s">
        <v>1014</v>
      </c>
      <c r="E52" s="1" t="s">
        <v>1013</v>
      </c>
    </row>
    <row r="53" spans="1:5" x14ac:dyDescent="0.25">
      <c r="A53" s="2">
        <v>43517</v>
      </c>
      <c r="B53">
        <v>2019</v>
      </c>
      <c r="C53">
        <v>2</v>
      </c>
      <c r="D53" s="1" t="s">
        <v>1014</v>
      </c>
      <c r="E53" s="1" t="s">
        <v>1013</v>
      </c>
    </row>
    <row r="54" spans="1:5" x14ac:dyDescent="0.25">
      <c r="A54" s="2">
        <v>43518</v>
      </c>
      <c r="B54">
        <v>2019</v>
      </c>
      <c r="C54">
        <v>2</v>
      </c>
      <c r="D54" s="1" t="s">
        <v>1014</v>
      </c>
      <c r="E54" s="1" t="s">
        <v>1013</v>
      </c>
    </row>
    <row r="55" spans="1:5" x14ac:dyDescent="0.25">
      <c r="A55" s="2">
        <v>43519</v>
      </c>
      <c r="B55">
        <v>2019</v>
      </c>
      <c r="C55">
        <v>2</v>
      </c>
      <c r="D55" s="1" t="s">
        <v>1014</v>
      </c>
      <c r="E55" s="1" t="s">
        <v>1013</v>
      </c>
    </row>
    <row r="56" spans="1:5" x14ac:dyDescent="0.25">
      <c r="A56" s="2">
        <v>43520</v>
      </c>
      <c r="B56">
        <v>2019</v>
      </c>
      <c r="C56">
        <v>2</v>
      </c>
      <c r="D56" s="1" t="s">
        <v>1014</v>
      </c>
      <c r="E56" s="1" t="s">
        <v>1013</v>
      </c>
    </row>
    <row r="57" spans="1:5" x14ac:dyDescent="0.25">
      <c r="A57" s="2">
        <v>43521</v>
      </c>
      <c r="B57">
        <v>2019</v>
      </c>
      <c r="C57">
        <v>2</v>
      </c>
      <c r="D57" s="1" t="s">
        <v>1014</v>
      </c>
      <c r="E57" s="1" t="s">
        <v>1013</v>
      </c>
    </row>
    <row r="58" spans="1:5" x14ac:dyDescent="0.25">
      <c r="A58" s="2">
        <v>43522</v>
      </c>
      <c r="B58">
        <v>2019</v>
      </c>
      <c r="C58">
        <v>2</v>
      </c>
      <c r="D58" s="1" t="s">
        <v>1014</v>
      </c>
      <c r="E58" s="1" t="s">
        <v>1013</v>
      </c>
    </row>
    <row r="59" spans="1:5" x14ac:dyDescent="0.25">
      <c r="A59" s="2">
        <v>43523</v>
      </c>
      <c r="B59">
        <v>2019</v>
      </c>
      <c r="C59">
        <v>2</v>
      </c>
      <c r="D59" s="1" t="s">
        <v>1014</v>
      </c>
      <c r="E59" s="1" t="s">
        <v>1013</v>
      </c>
    </row>
    <row r="60" spans="1:5" x14ac:dyDescent="0.25">
      <c r="A60" s="2">
        <v>43524</v>
      </c>
      <c r="B60">
        <v>2019</v>
      </c>
      <c r="C60">
        <v>2</v>
      </c>
      <c r="D60" s="1" t="s">
        <v>1014</v>
      </c>
      <c r="E60" s="1" t="s">
        <v>1013</v>
      </c>
    </row>
    <row r="61" spans="1:5" x14ac:dyDescent="0.25">
      <c r="A61" s="2">
        <v>43525</v>
      </c>
      <c r="B61">
        <v>2019</v>
      </c>
      <c r="C61">
        <v>3</v>
      </c>
      <c r="D61" s="1" t="s">
        <v>1015</v>
      </c>
      <c r="E61" s="1" t="s">
        <v>1013</v>
      </c>
    </row>
    <row r="62" spans="1:5" x14ac:dyDescent="0.25">
      <c r="A62" s="2">
        <v>43526</v>
      </c>
      <c r="B62">
        <v>2019</v>
      </c>
      <c r="C62">
        <v>3</v>
      </c>
      <c r="D62" s="1" t="s">
        <v>1015</v>
      </c>
      <c r="E62" s="1" t="s">
        <v>1013</v>
      </c>
    </row>
    <row r="63" spans="1:5" x14ac:dyDescent="0.25">
      <c r="A63" s="2">
        <v>43527</v>
      </c>
      <c r="B63">
        <v>2019</v>
      </c>
      <c r="C63">
        <v>3</v>
      </c>
      <c r="D63" s="1" t="s">
        <v>1015</v>
      </c>
      <c r="E63" s="1" t="s">
        <v>1013</v>
      </c>
    </row>
    <row r="64" spans="1:5" x14ac:dyDescent="0.25">
      <c r="A64" s="2">
        <v>43528</v>
      </c>
      <c r="B64">
        <v>2019</v>
      </c>
      <c r="C64">
        <v>3</v>
      </c>
      <c r="D64" s="1" t="s">
        <v>1015</v>
      </c>
      <c r="E64" s="1" t="s">
        <v>1013</v>
      </c>
    </row>
    <row r="65" spans="1:5" x14ac:dyDescent="0.25">
      <c r="A65" s="2">
        <v>43529</v>
      </c>
      <c r="B65">
        <v>2019</v>
      </c>
      <c r="C65">
        <v>3</v>
      </c>
      <c r="D65" s="1" t="s">
        <v>1015</v>
      </c>
      <c r="E65" s="1" t="s">
        <v>1013</v>
      </c>
    </row>
    <row r="66" spans="1:5" x14ac:dyDescent="0.25">
      <c r="A66" s="2">
        <v>43530</v>
      </c>
      <c r="B66">
        <v>2019</v>
      </c>
      <c r="C66">
        <v>3</v>
      </c>
      <c r="D66" s="1" t="s">
        <v>1015</v>
      </c>
      <c r="E66" s="1" t="s">
        <v>1013</v>
      </c>
    </row>
    <row r="67" spans="1:5" x14ac:dyDescent="0.25">
      <c r="A67" s="2">
        <v>43531</v>
      </c>
      <c r="B67">
        <v>2019</v>
      </c>
      <c r="C67">
        <v>3</v>
      </c>
      <c r="D67" s="1" t="s">
        <v>1015</v>
      </c>
      <c r="E67" s="1" t="s">
        <v>1013</v>
      </c>
    </row>
    <row r="68" spans="1:5" x14ac:dyDescent="0.25">
      <c r="A68" s="2">
        <v>43532</v>
      </c>
      <c r="B68">
        <v>2019</v>
      </c>
      <c r="C68">
        <v>3</v>
      </c>
      <c r="D68" s="1" t="s">
        <v>1015</v>
      </c>
      <c r="E68" s="1" t="s">
        <v>1013</v>
      </c>
    </row>
    <row r="69" spans="1:5" x14ac:dyDescent="0.25">
      <c r="A69" s="2">
        <v>43533</v>
      </c>
      <c r="B69">
        <v>2019</v>
      </c>
      <c r="C69">
        <v>3</v>
      </c>
      <c r="D69" s="1" t="s">
        <v>1015</v>
      </c>
      <c r="E69" s="1" t="s">
        <v>1013</v>
      </c>
    </row>
    <row r="70" spans="1:5" x14ac:dyDescent="0.25">
      <c r="A70" s="2">
        <v>43534</v>
      </c>
      <c r="B70">
        <v>2019</v>
      </c>
      <c r="C70">
        <v>3</v>
      </c>
      <c r="D70" s="1" t="s">
        <v>1015</v>
      </c>
      <c r="E70" s="1" t="s">
        <v>1013</v>
      </c>
    </row>
    <row r="71" spans="1:5" x14ac:dyDescent="0.25">
      <c r="A71" s="2">
        <v>43535</v>
      </c>
      <c r="B71">
        <v>2019</v>
      </c>
      <c r="C71">
        <v>3</v>
      </c>
      <c r="D71" s="1" t="s">
        <v>1015</v>
      </c>
      <c r="E71" s="1" t="s">
        <v>1013</v>
      </c>
    </row>
    <row r="72" spans="1:5" x14ac:dyDescent="0.25">
      <c r="A72" s="2">
        <v>43536</v>
      </c>
      <c r="B72">
        <v>2019</v>
      </c>
      <c r="C72">
        <v>3</v>
      </c>
      <c r="D72" s="1" t="s">
        <v>1015</v>
      </c>
      <c r="E72" s="1" t="s">
        <v>1013</v>
      </c>
    </row>
    <row r="73" spans="1:5" x14ac:dyDescent="0.25">
      <c r="A73" s="2">
        <v>43537</v>
      </c>
      <c r="B73">
        <v>2019</v>
      </c>
      <c r="C73">
        <v>3</v>
      </c>
      <c r="D73" s="1" t="s">
        <v>1015</v>
      </c>
      <c r="E73" s="1" t="s">
        <v>1013</v>
      </c>
    </row>
    <row r="74" spans="1:5" x14ac:dyDescent="0.25">
      <c r="A74" s="2">
        <v>43538</v>
      </c>
      <c r="B74">
        <v>2019</v>
      </c>
      <c r="C74">
        <v>3</v>
      </c>
      <c r="D74" s="1" t="s">
        <v>1015</v>
      </c>
      <c r="E74" s="1" t="s">
        <v>1013</v>
      </c>
    </row>
    <row r="75" spans="1:5" x14ac:dyDescent="0.25">
      <c r="A75" s="2">
        <v>43539</v>
      </c>
      <c r="B75">
        <v>2019</v>
      </c>
      <c r="C75">
        <v>3</v>
      </c>
      <c r="D75" s="1" t="s">
        <v>1015</v>
      </c>
      <c r="E75" s="1" t="s">
        <v>1013</v>
      </c>
    </row>
    <row r="76" spans="1:5" x14ac:dyDescent="0.25">
      <c r="A76" s="2">
        <v>43540</v>
      </c>
      <c r="B76">
        <v>2019</v>
      </c>
      <c r="C76">
        <v>3</v>
      </c>
      <c r="D76" s="1" t="s">
        <v>1015</v>
      </c>
      <c r="E76" s="1" t="s">
        <v>1013</v>
      </c>
    </row>
    <row r="77" spans="1:5" x14ac:dyDescent="0.25">
      <c r="A77" s="2">
        <v>43541</v>
      </c>
      <c r="B77">
        <v>2019</v>
      </c>
      <c r="C77">
        <v>3</v>
      </c>
      <c r="D77" s="1" t="s">
        <v>1015</v>
      </c>
      <c r="E77" s="1" t="s">
        <v>1013</v>
      </c>
    </row>
    <row r="78" spans="1:5" x14ac:dyDescent="0.25">
      <c r="A78" s="2">
        <v>43542</v>
      </c>
      <c r="B78">
        <v>2019</v>
      </c>
      <c r="C78">
        <v>3</v>
      </c>
      <c r="D78" s="1" t="s">
        <v>1015</v>
      </c>
      <c r="E78" s="1" t="s">
        <v>1013</v>
      </c>
    </row>
    <row r="79" spans="1:5" x14ac:dyDescent="0.25">
      <c r="A79" s="2">
        <v>43543</v>
      </c>
      <c r="B79">
        <v>2019</v>
      </c>
      <c r="C79">
        <v>3</v>
      </c>
      <c r="D79" s="1" t="s">
        <v>1015</v>
      </c>
      <c r="E79" s="1" t="s">
        <v>1013</v>
      </c>
    </row>
    <row r="80" spans="1:5" x14ac:dyDescent="0.25">
      <c r="A80" s="2">
        <v>43544</v>
      </c>
      <c r="B80">
        <v>2019</v>
      </c>
      <c r="C80">
        <v>3</v>
      </c>
      <c r="D80" s="1" t="s">
        <v>1015</v>
      </c>
      <c r="E80" s="1" t="s">
        <v>1013</v>
      </c>
    </row>
    <row r="81" spans="1:5" x14ac:dyDescent="0.25">
      <c r="A81" s="2">
        <v>43545</v>
      </c>
      <c r="B81">
        <v>2019</v>
      </c>
      <c r="C81">
        <v>3</v>
      </c>
      <c r="D81" s="1" t="s">
        <v>1015</v>
      </c>
      <c r="E81" s="1" t="s">
        <v>1013</v>
      </c>
    </row>
    <row r="82" spans="1:5" x14ac:dyDescent="0.25">
      <c r="A82" s="2">
        <v>43546</v>
      </c>
      <c r="B82">
        <v>2019</v>
      </c>
      <c r="C82">
        <v>3</v>
      </c>
      <c r="D82" s="1" t="s">
        <v>1015</v>
      </c>
      <c r="E82" s="1" t="s">
        <v>1013</v>
      </c>
    </row>
    <row r="83" spans="1:5" x14ac:dyDescent="0.25">
      <c r="A83" s="2">
        <v>43547</v>
      </c>
      <c r="B83">
        <v>2019</v>
      </c>
      <c r="C83">
        <v>3</v>
      </c>
      <c r="D83" s="1" t="s">
        <v>1015</v>
      </c>
      <c r="E83" s="1" t="s">
        <v>1013</v>
      </c>
    </row>
    <row r="84" spans="1:5" x14ac:dyDescent="0.25">
      <c r="A84" s="2">
        <v>43548</v>
      </c>
      <c r="B84">
        <v>2019</v>
      </c>
      <c r="C84">
        <v>3</v>
      </c>
      <c r="D84" s="1" t="s">
        <v>1015</v>
      </c>
      <c r="E84" s="1" t="s">
        <v>1013</v>
      </c>
    </row>
    <row r="85" spans="1:5" x14ac:dyDescent="0.25">
      <c r="A85" s="2">
        <v>43549</v>
      </c>
      <c r="B85">
        <v>2019</v>
      </c>
      <c r="C85">
        <v>3</v>
      </c>
      <c r="D85" s="1" t="s">
        <v>1015</v>
      </c>
      <c r="E85" s="1" t="s">
        <v>1013</v>
      </c>
    </row>
    <row r="86" spans="1:5" x14ac:dyDescent="0.25">
      <c r="A86" s="2">
        <v>43550</v>
      </c>
      <c r="B86">
        <v>2019</v>
      </c>
      <c r="C86">
        <v>3</v>
      </c>
      <c r="D86" s="1" t="s">
        <v>1015</v>
      </c>
      <c r="E86" s="1" t="s">
        <v>1013</v>
      </c>
    </row>
    <row r="87" spans="1:5" x14ac:dyDescent="0.25">
      <c r="A87" s="2">
        <v>43551</v>
      </c>
      <c r="B87">
        <v>2019</v>
      </c>
      <c r="C87">
        <v>3</v>
      </c>
      <c r="D87" s="1" t="s">
        <v>1015</v>
      </c>
      <c r="E87" s="1" t="s">
        <v>1013</v>
      </c>
    </row>
    <row r="88" spans="1:5" x14ac:dyDescent="0.25">
      <c r="A88" s="2">
        <v>43552</v>
      </c>
      <c r="B88">
        <v>2019</v>
      </c>
      <c r="C88">
        <v>3</v>
      </c>
      <c r="D88" s="1" t="s">
        <v>1015</v>
      </c>
      <c r="E88" s="1" t="s">
        <v>1013</v>
      </c>
    </row>
    <row r="89" spans="1:5" x14ac:dyDescent="0.25">
      <c r="A89" s="2">
        <v>43553</v>
      </c>
      <c r="B89">
        <v>2019</v>
      </c>
      <c r="C89">
        <v>3</v>
      </c>
      <c r="D89" s="1" t="s">
        <v>1015</v>
      </c>
      <c r="E89" s="1" t="s">
        <v>1013</v>
      </c>
    </row>
    <row r="90" spans="1:5" x14ac:dyDescent="0.25">
      <c r="A90" s="2">
        <v>43554</v>
      </c>
      <c r="B90">
        <v>2019</v>
      </c>
      <c r="C90">
        <v>3</v>
      </c>
      <c r="D90" s="1" t="s">
        <v>1015</v>
      </c>
      <c r="E90" s="1" t="s">
        <v>1013</v>
      </c>
    </row>
    <row r="91" spans="1:5" x14ac:dyDescent="0.25">
      <c r="A91" s="2">
        <v>43555</v>
      </c>
      <c r="B91">
        <v>2019</v>
      </c>
      <c r="C91">
        <v>3</v>
      </c>
      <c r="D91" s="1" t="s">
        <v>1015</v>
      </c>
      <c r="E91" s="1" t="s">
        <v>1013</v>
      </c>
    </row>
    <row r="92" spans="1:5" x14ac:dyDescent="0.25">
      <c r="A92" s="2">
        <v>43556</v>
      </c>
      <c r="B92">
        <v>2019</v>
      </c>
      <c r="C92">
        <v>4</v>
      </c>
      <c r="D92" s="1" t="s">
        <v>1016</v>
      </c>
      <c r="E92" s="1" t="s">
        <v>1017</v>
      </c>
    </row>
    <row r="93" spans="1:5" x14ac:dyDescent="0.25">
      <c r="A93" s="2">
        <v>43557</v>
      </c>
      <c r="B93">
        <v>2019</v>
      </c>
      <c r="C93">
        <v>4</v>
      </c>
      <c r="D93" s="1" t="s">
        <v>1016</v>
      </c>
      <c r="E93" s="1" t="s">
        <v>1017</v>
      </c>
    </row>
    <row r="94" spans="1:5" x14ac:dyDescent="0.25">
      <c r="A94" s="2">
        <v>43558</v>
      </c>
      <c r="B94">
        <v>2019</v>
      </c>
      <c r="C94">
        <v>4</v>
      </c>
      <c r="D94" s="1" t="s">
        <v>1016</v>
      </c>
      <c r="E94" s="1" t="s">
        <v>1017</v>
      </c>
    </row>
    <row r="95" spans="1:5" x14ac:dyDescent="0.25">
      <c r="A95" s="2">
        <v>43559</v>
      </c>
      <c r="B95">
        <v>2019</v>
      </c>
      <c r="C95">
        <v>4</v>
      </c>
      <c r="D95" s="1" t="s">
        <v>1016</v>
      </c>
      <c r="E95" s="1" t="s">
        <v>1017</v>
      </c>
    </row>
    <row r="96" spans="1:5" x14ac:dyDescent="0.25">
      <c r="A96" s="2">
        <v>43560</v>
      </c>
      <c r="B96">
        <v>2019</v>
      </c>
      <c r="C96">
        <v>4</v>
      </c>
      <c r="D96" s="1" t="s">
        <v>1016</v>
      </c>
      <c r="E96" s="1" t="s">
        <v>1017</v>
      </c>
    </row>
    <row r="97" spans="1:5" x14ac:dyDescent="0.25">
      <c r="A97" s="2">
        <v>43561</v>
      </c>
      <c r="B97">
        <v>2019</v>
      </c>
      <c r="C97">
        <v>4</v>
      </c>
      <c r="D97" s="1" t="s">
        <v>1016</v>
      </c>
      <c r="E97" s="1" t="s">
        <v>1017</v>
      </c>
    </row>
    <row r="98" spans="1:5" x14ac:dyDescent="0.25">
      <c r="A98" s="2">
        <v>43562</v>
      </c>
      <c r="B98">
        <v>2019</v>
      </c>
      <c r="C98">
        <v>4</v>
      </c>
      <c r="D98" s="1" t="s">
        <v>1016</v>
      </c>
      <c r="E98" s="1" t="s">
        <v>1017</v>
      </c>
    </row>
    <row r="99" spans="1:5" x14ac:dyDescent="0.25">
      <c r="A99" s="2">
        <v>43563</v>
      </c>
      <c r="B99">
        <v>2019</v>
      </c>
      <c r="C99">
        <v>4</v>
      </c>
      <c r="D99" s="1" t="s">
        <v>1016</v>
      </c>
      <c r="E99" s="1" t="s">
        <v>1017</v>
      </c>
    </row>
    <row r="100" spans="1:5" x14ac:dyDescent="0.25">
      <c r="A100" s="2">
        <v>43564</v>
      </c>
      <c r="B100">
        <v>2019</v>
      </c>
      <c r="C100">
        <v>4</v>
      </c>
      <c r="D100" s="1" t="s">
        <v>1016</v>
      </c>
      <c r="E100" s="1" t="s">
        <v>1017</v>
      </c>
    </row>
    <row r="101" spans="1:5" x14ac:dyDescent="0.25">
      <c r="A101" s="2">
        <v>43565</v>
      </c>
      <c r="B101">
        <v>2019</v>
      </c>
      <c r="C101">
        <v>4</v>
      </c>
      <c r="D101" s="1" t="s">
        <v>1016</v>
      </c>
      <c r="E101" s="1" t="s">
        <v>1017</v>
      </c>
    </row>
    <row r="102" spans="1:5" x14ac:dyDescent="0.25">
      <c r="A102" s="2">
        <v>43566</v>
      </c>
      <c r="B102">
        <v>2019</v>
      </c>
      <c r="C102">
        <v>4</v>
      </c>
      <c r="D102" s="1" t="s">
        <v>1016</v>
      </c>
      <c r="E102" s="1" t="s">
        <v>1017</v>
      </c>
    </row>
    <row r="103" spans="1:5" x14ac:dyDescent="0.25">
      <c r="A103" s="2">
        <v>43567</v>
      </c>
      <c r="B103">
        <v>2019</v>
      </c>
      <c r="C103">
        <v>4</v>
      </c>
      <c r="D103" s="1" t="s">
        <v>1016</v>
      </c>
      <c r="E103" s="1" t="s">
        <v>1017</v>
      </c>
    </row>
    <row r="104" spans="1:5" x14ac:dyDescent="0.25">
      <c r="A104" s="2">
        <v>43568</v>
      </c>
      <c r="B104">
        <v>2019</v>
      </c>
      <c r="C104">
        <v>4</v>
      </c>
      <c r="D104" s="1" t="s">
        <v>1016</v>
      </c>
      <c r="E104" s="1" t="s">
        <v>1017</v>
      </c>
    </row>
    <row r="105" spans="1:5" x14ac:dyDescent="0.25">
      <c r="A105" s="2">
        <v>43569</v>
      </c>
      <c r="B105">
        <v>2019</v>
      </c>
      <c r="C105">
        <v>4</v>
      </c>
      <c r="D105" s="1" t="s">
        <v>1016</v>
      </c>
      <c r="E105" s="1" t="s">
        <v>1017</v>
      </c>
    </row>
    <row r="106" spans="1:5" x14ac:dyDescent="0.25">
      <c r="A106" s="2">
        <v>43570</v>
      </c>
      <c r="B106">
        <v>2019</v>
      </c>
      <c r="C106">
        <v>4</v>
      </c>
      <c r="D106" s="1" t="s">
        <v>1016</v>
      </c>
      <c r="E106" s="1" t="s">
        <v>1017</v>
      </c>
    </row>
    <row r="107" spans="1:5" x14ac:dyDescent="0.25">
      <c r="A107" s="2">
        <v>43571</v>
      </c>
      <c r="B107">
        <v>2019</v>
      </c>
      <c r="C107">
        <v>4</v>
      </c>
      <c r="D107" s="1" t="s">
        <v>1016</v>
      </c>
      <c r="E107" s="1" t="s">
        <v>1017</v>
      </c>
    </row>
    <row r="108" spans="1:5" x14ac:dyDescent="0.25">
      <c r="A108" s="2">
        <v>43572</v>
      </c>
      <c r="B108">
        <v>2019</v>
      </c>
      <c r="C108">
        <v>4</v>
      </c>
      <c r="D108" s="1" t="s">
        <v>1016</v>
      </c>
      <c r="E108" s="1" t="s">
        <v>1017</v>
      </c>
    </row>
    <row r="109" spans="1:5" x14ac:dyDescent="0.25">
      <c r="A109" s="2">
        <v>43573</v>
      </c>
      <c r="B109">
        <v>2019</v>
      </c>
      <c r="C109">
        <v>4</v>
      </c>
      <c r="D109" s="1" t="s">
        <v>1016</v>
      </c>
      <c r="E109" s="1" t="s">
        <v>1017</v>
      </c>
    </row>
    <row r="110" spans="1:5" x14ac:dyDescent="0.25">
      <c r="A110" s="2">
        <v>43574</v>
      </c>
      <c r="B110">
        <v>2019</v>
      </c>
      <c r="C110">
        <v>4</v>
      </c>
      <c r="D110" s="1" t="s">
        <v>1016</v>
      </c>
      <c r="E110" s="1" t="s">
        <v>1017</v>
      </c>
    </row>
    <row r="111" spans="1:5" x14ac:dyDescent="0.25">
      <c r="A111" s="2">
        <v>43575</v>
      </c>
      <c r="B111">
        <v>2019</v>
      </c>
      <c r="C111">
        <v>4</v>
      </c>
      <c r="D111" s="1" t="s">
        <v>1016</v>
      </c>
      <c r="E111" s="1" t="s">
        <v>1017</v>
      </c>
    </row>
    <row r="112" spans="1:5" x14ac:dyDescent="0.25">
      <c r="A112" s="2">
        <v>43576</v>
      </c>
      <c r="B112">
        <v>2019</v>
      </c>
      <c r="C112">
        <v>4</v>
      </c>
      <c r="D112" s="1" t="s">
        <v>1016</v>
      </c>
      <c r="E112" s="1" t="s">
        <v>1017</v>
      </c>
    </row>
    <row r="113" spans="1:5" x14ac:dyDescent="0.25">
      <c r="A113" s="2">
        <v>43577</v>
      </c>
      <c r="B113">
        <v>2019</v>
      </c>
      <c r="C113">
        <v>4</v>
      </c>
      <c r="D113" s="1" t="s">
        <v>1016</v>
      </c>
      <c r="E113" s="1" t="s">
        <v>1017</v>
      </c>
    </row>
    <row r="114" spans="1:5" x14ac:dyDescent="0.25">
      <c r="A114" s="2">
        <v>43578</v>
      </c>
      <c r="B114">
        <v>2019</v>
      </c>
      <c r="C114">
        <v>4</v>
      </c>
      <c r="D114" s="1" t="s">
        <v>1016</v>
      </c>
      <c r="E114" s="1" t="s">
        <v>1017</v>
      </c>
    </row>
    <row r="115" spans="1:5" x14ac:dyDescent="0.25">
      <c r="A115" s="2">
        <v>43579</v>
      </c>
      <c r="B115">
        <v>2019</v>
      </c>
      <c r="C115">
        <v>4</v>
      </c>
      <c r="D115" s="1" t="s">
        <v>1016</v>
      </c>
      <c r="E115" s="1" t="s">
        <v>1017</v>
      </c>
    </row>
    <row r="116" spans="1:5" x14ac:dyDescent="0.25">
      <c r="A116" s="2">
        <v>43580</v>
      </c>
      <c r="B116">
        <v>2019</v>
      </c>
      <c r="C116">
        <v>4</v>
      </c>
      <c r="D116" s="1" t="s">
        <v>1016</v>
      </c>
      <c r="E116" s="1" t="s">
        <v>1017</v>
      </c>
    </row>
    <row r="117" spans="1:5" x14ac:dyDescent="0.25">
      <c r="A117" s="2">
        <v>43581</v>
      </c>
      <c r="B117">
        <v>2019</v>
      </c>
      <c r="C117">
        <v>4</v>
      </c>
      <c r="D117" s="1" t="s">
        <v>1016</v>
      </c>
      <c r="E117" s="1" t="s">
        <v>1017</v>
      </c>
    </row>
    <row r="118" spans="1:5" x14ac:dyDescent="0.25">
      <c r="A118" s="2">
        <v>43582</v>
      </c>
      <c r="B118">
        <v>2019</v>
      </c>
      <c r="C118">
        <v>4</v>
      </c>
      <c r="D118" s="1" t="s">
        <v>1016</v>
      </c>
      <c r="E118" s="1" t="s">
        <v>1017</v>
      </c>
    </row>
    <row r="119" spans="1:5" x14ac:dyDescent="0.25">
      <c r="A119" s="2">
        <v>43583</v>
      </c>
      <c r="B119">
        <v>2019</v>
      </c>
      <c r="C119">
        <v>4</v>
      </c>
      <c r="D119" s="1" t="s">
        <v>1016</v>
      </c>
      <c r="E119" s="1" t="s">
        <v>1017</v>
      </c>
    </row>
    <row r="120" spans="1:5" x14ac:dyDescent="0.25">
      <c r="A120" s="2">
        <v>43584</v>
      </c>
      <c r="B120">
        <v>2019</v>
      </c>
      <c r="C120">
        <v>4</v>
      </c>
      <c r="D120" s="1" t="s">
        <v>1016</v>
      </c>
      <c r="E120" s="1" t="s">
        <v>1017</v>
      </c>
    </row>
    <row r="121" spans="1:5" x14ac:dyDescent="0.25">
      <c r="A121" s="2">
        <v>43585</v>
      </c>
      <c r="B121">
        <v>2019</v>
      </c>
      <c r="C121">
        <v>4</v>
      </c>
      <c r="D121" s="1" t="s">
        <v>1016</v>
      </c>
      <c r="E121" s="1" t="s">
        <v>1017</v>
      </c>
    </row>
    <row r="122" spans="1:5" x14ac:dyDescent="0.25">
      <c r="A122" s="2">
        <v>43586</v>
      </c>
      <c r="B122">
        <v>2019</v>
      </c>
      <c r="C122">
        <v>5</v>
      </c>
      <c r="D122" s="1" t="s">
        <v>1018</v>
      </c>
      <c r="E122" s="1" t="s">
        <v>1017</v>
      </c>
    </row>
    <row r="123" spans="1:5" x14ac:dyDescent="0.25">
      <c r="A123" s="2">
        <v>43587</v>
      </c>
      <c r="B123">
        <v>2019</v>
      </c>
      <c r="C123">
        <v>5</v>
      </c>
      <c r="D123" s="1" t="s">
        <v>1018</v>
      </c>
      <c r="E123" s="1" t="s">
        <v>1017</v>
      </c>
    </row>
    <row r="124" spans="1:5" x14ac:dyDescent="0.25">
      <c r="A124" s="2">
        <v>43588</v>
      </c>
      <c r="B124">
        <v>2019</v>
      </c>
      <c r="C124">
        <v>5</v>
      </c>
      <c r="D124" s="1" t="s">
        <v>1018</v>
      </c>
      <c r="E124" s="1" t="s">
        <v>1017</v>
      </c>
    </row>
    <row r="125" spans="1:5" x14ac:dyDescent="0.25">
      <c r="A125" s="2">
        <v>43589</v>
      </c>
      <c r="B125">
        <v>2019</v>
      </c>
      <c r="C125">
        <v>5</v>
      </c>
      <c r="D125" s="1" t="s">
        <v>1018</v>
      </c>
      <c r="E125" s="1" t="s">
        <v>1017</v>
      </c>
    </row>
    <row r="126" spans="1:5" x14ac:dyDescent="0.25">
      <c r="A126" s="2">
        <v>43590</v>
      </c>
      <c r="B126">
        <v>2019</v>
      </c>
      <c r="C126">
        <v>5</v>
      </c>
      <c r="D126" s="1" t="s">
        <v>1018</v>
      </c>
      <c r="E126" s="1" t="s">
        <v>1017</v>
      </c>
    </row>
    <row r="127" spans="1:5" x14ac:dyDescent="0.25">
      <c r="A127" s="2">
        <v>43591</v>
      </c>
      <c r="B127">
        <v>2019</v>
      </c>
      <c r="C127">
        <v>5</v>
      </c>
      <c r="D127" s="1" t="s">
        <v>1018</v>
      </c>
      <c r="E127" s="1" t="s">
        <v>1017</v>
      </c>
    </row>
    <row r="128" spans="1:5" x14ac:dyDescent="0.25">
      <c r="A128" s="2">
        <v>43592</v>
      </c>
      <c r="B128">
        <v>2019</v>
      </c>
      <c r="C128">
        <v>5</v>
      </c>
      <c r="D128" s="1" t="s">
        <v>1018</v>
      </c>
      <c r="E128" s="1" t="s">
        <v>1017</v>
      </c>
    </row>
    <row r="129" spans="1:5" x14ac:dyDescent="0.25">
      <c r="A129" s="2">
        <v>43593</v>
      </c>
      <c r="B129">
        <v>2019</v>
      </c>
      <c r="C129">
        <v>5</v>
      </c>
      <c r="D129" s="1" t="s">
        <v>1018</v>
      </c>
      <c r="E129" s="1" t="s">
        <v>1017</v>
      </c>
    </row>
    <row r="130" spans="1:5" x14ac:dyDescent="0.25">
      <c r="A130" s="2">
        <v>43594</v>
      </c>
      <c r="B130">
        <v>2019</v>
      </c>
      <c r="C130">
        <v>5</v>
      </c>
      <c r="D130" s="1" t="s">
        <v>1018</v>
      </c>
      <c r="E130" s="1" t="s">
        <v>1017</v>
      </c>
    </row>
    <row r="131" spans="1:5" x14ac:dyDescent="0.25">
      <c r="A131" s="2">
        <v>43595</v>
      </c>
      <c r="B131">
        <v>2019</v>
      </c>
      <c r="C131">
        <v>5</v>
      </c>
      <c r="D131" s="1" t="s">
        <v>1018</v>
      </c>
      <c r="E131" s="1" t="s">
        <v>1017</v>
      </c>
    </row>
    <row r="132" spans="1:5" x14ac:dyDescent="0.25">
      <c r="A132" s="2">
        <v>43596</v>
      </c>
      <c r="B132">
        <v>2019</v>
      </c>
      <c r="C132">
        <v>5</v>
      </c>
      <c r="D132" s="1" t="s">
        <v>1018</v>
      </c>
      <c r="E132" s="1" t="s">
        <v>1017</v>
      </c>
    </row>
    <row r="133" spans="1:5" x14ac:dyDescent="0.25">
      <c r="A133" s="2">
        <v>43597</v>
      </c>
      <c r="B133">
        <v>2019</v>
      </c>
      <c r="C133">
        <v>5</v>
      </c>
      <c r="D133" s="1" t="s">
        <v>1018</v>
      </c>
      <c r="E133" s="1" t="s">
        <v>1017</v>
      </c>
    </row>
    <row r="134" spans="1:5" x14ac:dyDescent="0.25">
      <c r="A134" s="2">
        <v>43598</v>
      </c>
      <c r="B134">
        <v>2019</v>
      </c>
      <c r="C134">
        <v>5</v>
      </c>
      <c r="D134" s="1" t="s">
        <v>1018</v>
      </c>
      <c r="E134" s="1" t="s">
        <v>1017</v>
      </c>
    </row>
    <row r="135" spans="1:5" x14ac:dyDescent="0.25">
      <c r="A135" s="2">
        <v>43599</v>
      </c>
      <c r="B135">
        <v>2019</v>
      </c>
      <c r="C135">
        <v>5</v>
      </c>
      <c r="D135" s="1" t="s">
        <v>1018</v>
      </c>
      <c r="E135" s="1" t="s">
        <v>1017</v>
      </c>
    </row>
    <row r="136" spans="1:5" x14ac:dyDescent="0.25">
      <c r="A136" s="2">
        <v>43600</v>
      </c>
      <c r="B136">
        <v>2019</v>
      </c>
      <c r="C136">
        <v>5</v>
      </c>
      <c r="D136" s="1" t="s">
        <v>1018</v>
      </c>
      <c r="E136" s="1" t="s">
        <v>1017</v>
      </c>
    </row>
    <row r="137" spans="1:5" x14ac:dyDescent="0.25">
      <c r="A137" s="2">
        <v>43601</v>
      </c>
      <c r="B137">
        <v>2019</v>
      </c>
      <c r="C137">
        <v>5</v>
      </c>
      <c r="D137" s="1" t="s">
        <v>1018</v>
      </c>
      <c r="E137" s="1" t="s">
        <v>1017</v>
      </c>
    </row>
    <row r="138" spans="1:5" x14ac:dyDescent="0.25">
      <c r="A138" s="2">
        <v>43602</v>
      </c>
      <c r="B138">
        <v>2019</v>
      </c>
      <c r="C138">
        <v>5</v>
      </c>
      <c r="D138" s="1" t="s">
        <v>1018</v>
      </c>
      <c r="E138" s="1" t="s">
        <v>1017</v>
      </c>
    </row>
    <row r="139" spans="1:5" x14ac:dyDescent="0.25">
      <c r="A139" s="2">
        <v>43603</v>
      </c>
      <c r="B139">
        <v>2019</v>
      </c>
      <c r="C139">
        <v>5</v>
      </c>
      <c r="D139" s="1" t="s">
        <v>1018</v>
      </c>
      <c r="E139" s="1" t="s">
        <v>1017</v>
      </c>
    </row>
    <row r="140" spans="1:5" x14ac:dyDescent="0.25">
      <c r="A140" s="2">
        <v>43604</v>
      </c>
      <c r="B140">
        <v>2019</v>
      </c>
      <c r="C140">
        <v>5</v>
      </c>
      <c r="D140" s="1" t="s">
        <v>1018</v>
      </c>
      <c r="E140" s="1" t="s">
        <v>1017</v>
      </c>
    </row>
    <row r="141" spans="1:5" x14ac:dyDescent="0.25">
      <c r="A141" s="2">
        <v>43605</v>
      </c>
      <c r="B141">
        <v>2019</v>
      </c>
      <c r="C141">
        <v>5</v>
      </c>
      <c r="D141" s="1" t="s">
        <v>1018</v>
      </c>
      <c r="E141" s="1" t="s">
        <v>1017</v>
      </c>
    </row>
    <row r="142" spans="1:5" x14ac:dyDescent="0.25">
      <c r="A142" s="2">
        <v>43606</v>
      </c>
      <c r="B142">
        <v>2019</v>
      </c>
      <c r="C142">
        <v>5</v>
      </c>
      <c r="D142" s="1" t="s">
        <v>1018</v>
      </c>
      <c r="E142" s="1" t="s">
        <v>1017</v>
      </c>
    </row>
    <row r="143" spans="1:5" x14ac:dyDescent="0.25">
      <c r="A143" s="2">
        <v>43607</v>
      </c>
      <c r="B143">
        <v>2019</v>
      </c>
      <c r="C143">
        <v>5</v>
      </c>
      <c r="D143" s="1" t="s">
        <v>1018</v>
      </c>
      <c r="E143" s="1" t="s">
        <v>1017</v>
      </c>
    </row>
    <row r="144" spans="1:5" x14ac:dyDescent="0.25">
      <c r="A144" s="2">
        <v>43608</v>
      </c>
      <c r="B144">
        <v>2019</v>
      </c>
      <c r="C144">
        <v>5</v>
      </c>
      <c r="D144" s="1" t="s">
        <v>1018</v>
      </c>
      <c r="E144" s="1" t="s">
        <v>1017</v>
      </c>
    </row>
    <row r="145" spans="1:5" x14ac:dyDescent="0.25">
      <c r="A145" s="2">
        <v>43609</v>
      </c>
      <c r="B145">
        <v>2019</v>
      </c>
      <c r="C145">
        <v>5</v>
      </c>
      <c r="D145" s="1" t="s">
        <v>1018</v>
      </c>
      <c r="E145" s="1" t="s">
        <v>1017</v>
      </c>
    </row>
    <row r="146" spans="1:5" x14ac:dyDescent="0.25">
      <c r="A146" s="2">
        <v>43610</v>
      </c>
      <c r="B146">
        <v>2019</v>
      </c>
      <c r="C146">
        <v>5</v>
      </c>
      <c r="D146" s="1" t="s">
        <v>1018</v>
      </c>
      <c r="E146" s="1" t="s">
        <v>1017</v>
      </c>
    </row>
    <row r="147" spans="1:5" x14ac:dyDescent="0.25">
      <c r="A147" s="2">
        <v>43611</v>
      </c>
      <c r="B147">
        <v>2019</v>
      </c>
      <c r="C147">
        <v>5</v>
      </c>
      <c r="D147" s="1" t="s">
        <v>1018</v>
      </c>
      <c r="E147" s="1" t="s">
        <v>1017</v>
      </c>
    </row>
    <row r="148" spans="1:5" x14ac:dyDescent="0.25">
      <c r="A148" s="2">
        <v>43612</v>
      </c>
      <c r="B148">
        <v>2019</v>
      </c>
      <c r="C148">
        <v>5</v>
      </c>
      <c r="D148" s="1" t="s">
        <v>1018</v>
      </c>
      <c r="E148" s="1" t="s">
        <v>1017</v>
      </c>
    </row>
    <row r="149" spans="1:5" x14ac:dyDescent="0.25">
      <c r="A149" s="2">
        <v>43613</v>
      </c>
      <c r="B149">
        <v>2019</v>
      </c>
      <c r="C149">
        <v>5</v>
      </c>
      <c r="D149" s="1" t="s">
        <v>1018</v>
      </c>
      <c r="E149" s="1" t="s">
        <v>1017</v>
      </c>
    </row>
    <row r="150" spans="1:5" x14ac:dyDescent="0.25">
      <c r="A150" s="2">
        <v>43614</v>
      </c>
      <c r="B150">
        <v>2019</v>
      </c>
      <c r="C150">
        <v>5</v>
      </c>
      <c r="D150" s="1" t="s">
        <v>1018</v>
      </c>
      <c r="E150" s="1" t="s">
        <v>1017</v>
      </c>
    </row>
    <row r="151" spans="1:5" x14ac:dyDescent="0.25">
      <c r="A151" s="2">
        <v>43615</v>
      </c>
      <c r="B151">
        <v>2019</v>
      </c>
      <c r="C151">
        <v>5</v>
      </c>
      <c r="D151" s="1" t="s">
        <v>1018</v>
      </c>
      <c r="E151" s="1" t="s">
        <v>1017</v>
      </c>
    </row>
    <row r="152" spans="1:5" x14ac:dyDescent="0.25">
      <c r="A152" s="2">
        <v>43616</v>
      </c>
      <c r="B152">
        <v>2019</v>
      </c>
      <c r="C152">
        <v>5</v>
      </c>
      <c r="D152" s="1" t="s">
        <v>1018</v>
      </c>
      <c r="E152" s="1" t="s">
        <v>1017</v>
      </c>
    </row>
    <row r="153" spans="1:5" x14ac:dyDescent="0.25">
      <c r="A153" s="2">
        <v>43617</v>
      </c>
      <c r="B153">
        <v>2019</v>
      </c>
      <c r="C153">
        <v>6</v>
      </c>
      <c r="D153" s="1" t="s">
        <v>1019</v>
      </c>
      <c r="E153" s="1" t="s">
        <v>1017</v>
      </c>
    </row>
    <row r="154" spans="1:5" x14ac:dyDescent="0.25">
      <c r="A154" s="2">
        <v>43618</v>
      </c>
      <c r="B154">
        <v>2019</v>
      </c>
      <c r="C154">
        <v>6</v>
      </c>
      <c r="D154" s="1" t="s">
        <v>1019</v>
      </c>
      <c r="E154" s="1" t="s">
        <v>1017</v>
      </c>
    </row>
    <row r="155" spans="1:5" x14ac:dyDescent="0.25">
      <c r="A155" s="2">
        <v>43619</v>
      </c>
      <c r="B155">
        <v>2019</v>
      </c>
      <c r="C155">
        <v>6</v>
      </c>
      <c r="D155" s="1" t="s">
        <v>1019</v>
      </c>
      <c r="E155" s="1" t="s">
        <v>1017</v>
      </c>
    </row>
    <row r="156" spans="1:5" x14ac:dyDescent="0.25">
      <c r="A156" s="2">
        <v>43620</v>
      </c>
      <c r="B156">
        <v>2019</v>
      </c>
      <c r="C156">
        <v>6</v>
      </c>
      <c r="D156" s="1" t="s">
        <v>1019</v>
      </c>
      <c r="E156" s="1" t="s">
        <v>1017</v>
      </c>
    </row>
    <row r="157" spans="1:5" x14ac:dyDescent="0.25">
      <c r="A157" s="2">
        <v>43621</v>
      </c>
      <c r="B157">
        <v>2019</v>
      </c>
      <c r="C157">
        <v>6</v>
      </c>
      <c r="D157" s="1" t="s">
        <v>1019</v>
      </c>
      <c r="E157" s="1" t="s">
        <v>1017</v>
      </c>
    </row>
    <row r="158" spans="1:5" x14ac:dyDescent="0.25">
      <c r="A158" s="2">
        <v>43622</v>
      </c>
      <c r="B158">
        <v>2019</v>
      </c>
      <c r="C158">
        <v>6</v>
      </c>
      <c r="D158" s="1" t="s">
        <v>1019</v>
      </c>
      <c r="E158" s="1" t="s">
        <v>1017</v>
      </c>
    </row>
    <row r="159" spans="1:5" x14ac:dyDescent="0.25">
      <c r="A159" s="2">
        <v>43623</v>
      </c>
      <c r="B159">
        <v>2019</v>
      </c>
      <c r="C159">
        <v>6</v>
      </c>
      <c r="D159" s="1" t="s">
        <v>1019</v>
      </c>
      <c r="E159" s="1" t="s">
        <v>1017</v>
      </c>
    </row>
    <row r="160" spans="1:5" x14ac:dyDescent="0.25">
      <c r="A160" s="2">
        <v>43624</v>
      </c>
      <c r="B160">
        <v>2019</v>
      </c>
      <c r="C160">
        <v>6</v>
      </c>
      <c r="D160" s="1" t="s">
        <v>1019</v>
      </c>
      <c r="E160" s="1" t="s">
        <v>1017</v>
      </c>
    </row>
    <row r="161" spans="1:5" x14ac:dyDescent="0.25">
      <c r="A161" s="2">
        <v>43625</v>
      </c>
      <c r="B161">
        <v>2019</v>
      </c>
      <c r="C161">
        <v>6</v>
      </c>
      <c r="D161" s="1" t="s">
        <v>1019</v>
      </c>
      <c r="E161" s="1" t="s">
        <v>1017</v>
      </c>
    </row>
    <row r="162" spans="1:5" x14ac:dyDescent="0.25">
      <c r="A162" s="2">
        <v>43626</v>
      </c>
      <c r="B162">
        <v>2019</v>
      </c>
      <c r="C162">
        <v>6</v>
      </c>
      <c r="D162" s="1" t="s">
        <v>1019</v>
      </c>
      <c r="E162" s="1" t="s">
        <v>1017</v>
      </c>
    </row>
    <row r="163" spans="1:5" x14ac:dyDescent="0.25">
      <c r="A163" s="2">
        <v>43627</v>
      </c>
      <c r="B163">
        <v>2019</v>
      </c>
      <c r="C163">
        <v>6</v>
      </c>
      <c r="D163" s="1" t="s">
        <v>1019</v>
      </c>
      <c r="E163" s="1" t="s">
        <v>1017</v>
      </c>
    </row>
    <row r="164" spans="1:5" x14ac:dyDescent="0.25">
      <c r="A164" s="2">
        <v>43628</v>
      </c>
      <c r="B164">
        <v>2019</v>
      </c>
      <c r="C164">
        <v>6</v>
      </c>
      <c r="D164" s="1" t="s">
        <v>1019</v>
      </c>
      <c r="E164" s="1" t="s">
        <v>1017</v>
      </c>
    </row>
    <row r="165" spans="1:5" x14ac:dyDescent="0.25">
      <c r="A165" s="2">
        <v>43629</v>
      </c>
      <c r="B165">
        <v>2019</v>
      </c>
      <c r="C165">
        <v>6</v>
      </c>
      <c r="D165" s="1" t="s">
        <v>1019</v>
      </c>
      <c r="E165" s="1" t="s">
        <v>1017</v>
      </c>
    </row>
    <row r="166" spans="1:5" x14ac:dyDescent="0.25">
      <c r="A166" s="2">
        <v>43630</v>
      </c>
      <c r="B166">
        <v>2019</v>
      </c>
      <c r="C166">
        <v>6</v>
      </c>
      <c r="D166" s="1" t="s">
        <v>1019</v>
      </c>
      <c r="E166" s="1" t="s">
        <v>1017</v>
      </c>
    </row>
    <row r="167" spans="1:5" x14ac:dyDescent="0.25">
      <c r="A167" s="2">
        <v>43631</v>
      </c>
      <c r="B167">
        <v>2019</v>
      </c>
      <c r="C167">
        <v>6</v>
      </c>
      <c r="D167" s="1" t="s">
        <v>1019</v>
      </c>
      <c r="E167" s="1" t="s">
        <v>1017</v>
      </c>
    </row>
    <row r="168" spans="1:5" x14ac:dyDescent="0.25">
      <c r="A168" s="2">
        <v>43632</v>
      </c>
      <c r="B168">
        <v>2019</v>
      </c>
      <c r="C168">
        <v>6</v>
      </c>
      <c r="D168" s="1" t="s">
        <v>1019</v>
      </c>
      <c r="E168" s="1" t="s">
        <v>1017</v>
      </c>
    </row>
    <row r="169" spans="1:5" x14ac:dyDescent="0.25">
      <c r="A169" s="2">
        <v>43633</v>
      </c>
      <c r="B169">
        <v>2019</v>
      </c>
      <c r="C169">
        <v>6</v>
      </c>
      <c r="D169" s="1" t="s">
        <v>1019</v>
      </c>
      <c r="E169" s="1" t="s">
        <v>1017</v>
      </c>
    </row>
    <row r="170" spans="1:5" x14ac:dyDescent="0.25">
      <c r="A170" s="2">
        <v>43634</v>
      </c>
      <c r="B170">
        <v>2019</v>
      </c>
      <c r="C170">
        <v>6</v>
      </c>
      <c r="D170" s="1" t="s">
        <v>1019</v>
      </c>
      <c r="E170" s="1" t="s">
        <v>1017</v>
      </c>
    </row>
    <row r="171" spans="1:5" x14ac:dyDescent="0.25">
      <c r="A171" s="2">
        <v>43635</v>
      </c>
      <c r="B171">
        <v>2019</v>
      </c>
      <c r="C171">
        <v>6</v>
      </c>
      <c r="D171" s="1" t="s">
        <v>1019</v>
      </c>
      <c r="E171" s="1" t="s">
        <v>1017</v>
      </c>
    </row>
    <row r="172" spans="1:5" x14ac:dyDescent="0.25">
      <c r="A172" s="2">
        <v>43636</v>
      </c>
      <c r="B172">
        <v>2019</v>
      </c>
      <c r="C172">
        <v>6</v>
      </c>
      <c r="D172" s="1" t="s">
        <v>1019</v>
      </c>
      <c r="E172" s="1" t="s">
        <v>1017</v>
      </c>
    </row>
    <row r="173" spans="1:5" x14ac:dyDescent="0.25">
      <c r="A173" s="2">
        <v>43637</v>
      </c>
      <c r="B173">
        <v>2019</v>
      </c>
      <c r="C173">
        <v>6</v>
      </c>
      <c r="D173" s="1" t="s">
        <v>1019</v>
      </c>
      <c r="E173" s="1" t="s">
        <v>1017</v>
      </c>
    </row>
    <row r="174" spans="1:5" x14ac:dyDescent="0.25">
      <c r="A174" s="2">
        <v>43638</v>
      </c>
      <c r="B174">
        <v>2019</v>
      </c>
      <c r="C174">
        <v>6</v>
      </c>
      <c r="D174" s="1" t="s">
        <v>1019</v>
      </c>
      <c r="E174" s="1" t="s">
        <v>1017</v>
      </c>
    </row>
    <row r="175" spans="1:5" x14ac:dyDescent="0.25">
      <c r="A175" s="2">
        <v>43639</v>
      </c>
      <c r="B175">
        <v>2019</v>
      </c>
      <c r="C175">
        <v>6</v>
      </c>
      <c r="D175" s="1" t="s">
        <v>1019</v>
      </c>
      <c r="E175" s="1" t="s">
        <v>1017</v>
      </c>
    </row>
    <row r="176" spans="1:5" x14ac:dyDescent="0.25">
      <c r="A176" s="2">
        <v>43640</v>
      </c>
      <c r="B176">
        <v>2019</v>
      </c>
      <c r="C176">
        <v>6</v>
      </c>
      <c r="D176" s="1" t="s">
        <v>1019</v>
      </c>
      <c r="E176" s="1" t="s">
        <v>1017</v>
      </c>
    </row>
    <row r="177" spans="1:5" x14ac:dyDescent="0.25">
      <c r="A177" s="2">
        <v>43641</v>
      </c>
      <c r="B177">
        <v>2019</v>
      </c>
      <c r="C177">
        <v>6</v>
      </c>
      <c r="D177" s="1" t="s">
        <v>1019</v>
      </c>
      <c r="E177" s="1" t="s">
        <v>1017</v>
      </c>
    </row>
    <row r="178" spans="1:5" x14ac:dyDescent="0.25">
      <c r="A178" s="2">
        <v>43642</v>
      </c>
      <c r="B178">
        <v>2019</v>
      </c>
      <c r="C178">
        <v>6</v>
      </c>
      <c r="D178" s="1" t="s">
        <v>1019</v>
      </c>
      <c r="E178" s="1" t="s">
        <v>1017</v>
      </c>
    </row>
    <row r="179" spans="1:5" x14ac:dyDescent="0.25">
      <c r="A179" s="2">
        <v>43643</v>
      </c>
      <c r="B179">
        <v>2019</v>
      </c>
      <c r="C179">
        <v>6</v>
      </c>
      <c r="D179" s="1" t="s">
        <v>1019</v>
      </c>
      <c r="E179" s="1" t="s">
        <v>1017</v>
      </c>
    </row>
    <row r="180" spans="1:5" x14ac:dyDescent="0.25">
      <c r="A180" s="2">
        <v>43644</v>
      </c>
      <c r="B180">
        <v>2019</v>
      </c>
      <c r="C180">
        <v>6</v>
      </c>
      <c r="D180" s="1" t="s">
        <v>1019</v>
      </c>
      <c r="E180" s="1" t="s">
        <v>1017</v>
      </c>
    </row>
    <row r="181" spans="1:5" x14ac:dyDescent="0.25">
      <c r="A181" s="2">
        <v>43645</v>
      </c>
      <c r="B181">
        <v>2019</v>
      </c>
      <c r="C181">
        <v>6</v>
      </c>
      <c r="D181" s="1" t="s">
        <v>1019</v>
      </c>
      <c r="E181" s="1" t="s">
        <v>1017</v>
      </c>
    </row>
    <row r="182" spans="1:5" x14ac:dyDescent="0.25">
      <c r="A182" s="2">
        <v>43646</v>
      </c>
      <c r="B182">
        <v>2019</v>
      </c>
      <c r="C182">
        <v>6</v>
      </c>
      <c r="D182" s="1" t="s">
        <v>1019</v>
      </c>
      <c r="E182" s="1" t="s">
        <v>1017</v>
      </c>
    </row>
    <row r="183" spans="1:5" x14ac:dyDescent="0.25">
      <c r="A183" s="2">
        <v>43647</v>
      </c>
      <c r="B183">
        <v>2019</v>
      </c>
      <c r="C183">
        <v>7</v>
      </c>
      <c r="D183" s="1" t="s">
        <v>1020</v>
      </c>
      <c r="E183" s="1" t="s">
        <v>1021</v>
      </c>
    </row>
    <row r="184" spans="1:5" x14ac:dyDescent="0.25">
      <c r="A184" s="2">
        <v>43648</v>
      </c>
      <c r="B184">
        <v>2019</v>
      </c>
      <c r="C184">
        <v>7</v>
      </c>
      <c r="D184" s="1" t="s">
        <v>1020</v>
      </c>
      <c r="E184" s="1" t="s">
        <v>1021</v>
      </c>
    </row>
    <row r="185" spans="1:5" x14ac:dyDescent="0.25">
      <c r="A185" s="2">
        <v>43649</v>
      </c>
      <c r="B185">
        <v>2019</v>
      </c>
      <c r="C185">
        <v>7</v>
      </c>
      <c r="D185" s="1" t="s">
        <v>1020</v>
      </c>
      <c r="E185" s="1" t="s">
        <v>1021</v>
      </c>
    </row>
    <row r="186" spans="1:5" x14ac:dyDescent="0.25">
      <c r="A186" s="2">
        <v>43650</v>
      </c>
      <c r="B186">
        <v>2019</v>
      </c>
      <c r="C186">
        <v>7</v>
      </c>
      <c r="D186" s="1" t="s">
        <v>1020</v>
      </c>
      <c r="E186" s="1" t="s">
        <v>1021</v>
      </c>
    </row>
    <row r="187" spans="1:5" x14ac:dyDescent="0.25">
      <c r="A187" s="2">
        <v>43651</v>
      </c>
      <c r="B187">
        <v>2019</v>
      </c>
      <c r="C187">
        <v>7</v>
      </c>
      <c r="D187" s="1" t="s">
        <v>1020</v>
      </c>
      <c r="E187" s="1" t="s">
        <v>1021</v>
      </c>
    </row>
    <row r="188" spans="1:5" x14ac:dyDescent="0.25">
      <c r="A188" s="2">
        <v>43652</v>
      </c>
      <c r="B188">
        <v>2019</v>
      </c>
      <c r="C188">
        <v>7</v>
      </c>
      <c r="D188" s="1" t="s">
        <v>1020</v>
      </c>
      <c r="E188" s="1" t="s">
        <v>1021</v>
      </c>
    </row>
    <row r="189" spans="1:5" x14ac:dyDescent="0.25">
      <c r="A189" s="2">
        <v>43653</v>
      </c>
      <c r="B189">
        <v>2019</v>
      </c>
      <c r="C189">
        <v>7</v>
      </c>
      <c r="D189" s="1" t="s">
        <v>1020</v>
      </c>
      <c r="E189" s="1" t="s">
        <v>1021</v>
      </c>
    </row>
    <row r="190" spans="1:5" x14ac:dyDescent="0.25">
      <c r="A190" s="2">
        <v>43654</v>
      </c>
      <c r="B190">
        <v>2019</v>
      </c>
      <c r="C190">
        <v>7</v>
      </c>
      <c r="D190" s="1" t="s">
        <v>1020</v>
      </c>
      <c r="E190" s="1" t="s">
        <v>1021</v>
      </c>
    </row>
    <row r="191" spans="1:5" x14ac:dyDescent="0.25">
      <c r="A191" s="2">
        <v>43655</v>
      </c>
      <c r="B191">
        <v>2019</v>
      </c>
      <c r="C191">
        <v>7</v>
      </c>
      <c r="D191" s="1" t="s">
        <v>1020</v>
      </c>
      <c r="E191" s="1" t="s">
        <v>1021</v>
      </c>
    </row>
    <row r="192" spans="1:5" x14ac:dyDescent="0.25">
      <c r="A192" s="2">
        <v>43656</v>
      </c>
      <c r="B192">
        <v>2019</v>
      </c>
      <c r="C192">
        <v>7</v>
      </c>
      <c r="D192" s="1" t="s">
        <v>1020</v>
      </c>
      <c r="E192" s="1" t="s">
        <v>1021</v>
      </c>
    </row>
    <row r="193" spans="1:5" x14ac:dyDescent="0.25">
      <c r="A193" s="2">
        <v>43657</v>
      </c>
      <c r="B193">
        <v>2019</v>
      </c>
      <c r="C193">
        <v>7</v>
      </c>
      <c r="D193" s="1" t="s">
        <v>1020</v>
      </c>
      <c r="E193" s="1" t="s">
        <v>1021</v>
      </c>
    </row>
    <row r="194" spans="1:5" x14ac:dyDescent="0.25">
      <c r="A194" s="2">
        <v>43658</v>
      </c>
      <c r="B194">
        <v>2019</v>
      </c>
      <c r="C194">
        <v>7</v>
      </c>
      <c r="D194" s="1" t="s">
        <v>1020</v>
      </c>
      <c r="E194" s="1" t="s">
        <v>1021</v>
      </c>
    </row>
    <row r="195" spans="1:5" x14ac:dyDescent="0.25">
      <c r="A195" s="2">
        <v>43659</v>
      </c>
      <c r="B195">
        <v>2019</v>
      </c>
      <c r="C195">
        <v>7</v>
      </c>
      <c r="D195" s="1" t="s">
        <v>1020</v>
      </c>
      <c r="E195" s="1" t="s">
        <v>1021</v>
      </c>
    </row>
    <row r="196" spans="1:5" x14ac:dyDescent="0.25">
      <c r="A196" s="2">
        <v>43660</v>
      </c>
      <c r="B196">
        <v>2019</v>
      </c>
      <c r="C196">
        <v>7</v>
      </c>
      <c r="D196" s="1" t="s">
        <v>1020</v>
      </c>
      <c r="E196" s="1" t="s">
        <v>1021</v>
      </c>
    </row>
    <row r="197" spans="1:5" x14ac:dyDescent="0.25">
      <c r="A197" s="2">
        <v>43661</v>
      </c>
      <c r="B197">
        <v>2019</v>
      </c>
      <c r="C197">
        <v>7</v>
      </c>
      <c r="D197" s="1" t="s">
        <v>1020</v>
      </c>
      <c r="E197" s="1" t="s">
        <v>1021</v>
      </c>
    </row>
    <row r="198" spans="1:5" x14ac:dyDescent="0.25">
      <c r="A198" s="2">
        <v>43662</v>
      </c>
      <c r="B198">
        <v>2019</v>
      </c>
      <c r="C198">
        <v>7</v>
      </c>
      <c r="D198" s="1" t="s">
        <v>1020</v>
      </c>
      <c r="E198" s="1" t="s">
        <v>1021</v>
      </c>
    </row>
    <row r="199" spans="1:5" x14ac:dyDescent="0.25">
      <c r="A199" s="2">
        <v>43663</v>
      </c>
      <c r="B199">
        <v>2019</v>
      </c>
      <c r="C199">
        <v>7</v>
      </c>
      <c r="D199" s="1" t="s">
        <v>1020</v>
      </c>
      <c r="E199" s="1" t="s">
        <v>1021</v>
      </c>
    </row>
    <row r="200" spans="1:5" x14ac:dyDescent="0.25">
      <c r="A200" s="2">
        <v>43664</v>
      </c>
      <c r="B200">
        <v>2019</v>
      </c>
      <c r="C200">
        <v>7</v>
      </c>
      <c r="D200" s="1" t="s">
        <v>1020</v>
      </c>
      <c r="E200" s="1" t="s">
        <v>1021</v>
      </c>
    </row>
    <row r="201" spans="1:5" x14ac:dyDescent="0.25">
      <c r="A201" s="2">
        <v>43665</v>
      </c>
      <c r="B201">
        <v>2019</v>
      </c>
      <c r="C201">
        <v>7</v>
      </c>
      <c r="D201" s="1" t="s">
        <v>1020</v>
      </c>
      <c r="E201" s="1" t="s">
        <v>1021</v>
      </c>
    </row>
    <row r="202" spans="1:5" x14ac:dyDescent="0.25">
      <c r="A202" s="2">
        <v>43666</v>
      </c>
      <c r="B202">
        <v>2019</v>
      </c>
      <c r="C202">
        <v>7</v>
      </c>
      <c r="D202" s="1" t="s">
        <v>1020</v>
      </c>
      <c r="E202" s="1" t="s">
        <v>1021</v>
      </c>
    </row>
    <row r="203" spans="1:5" x14ac:dyDescent="0.25">
      <c r="A203" s="2">
        <v>43667</v>
      </c>
      <c r="B203">
        <v>2019</v>
      </c>
      <c r="C203">
        <v>7</v>
      </c>
      <c r="D203" s="1" t="s">
        <v>1020</v>
      </c>
      <c r="E203" s="1" t="s">
        <v>1021</v>
      </c>
    </row>
    <row r="204" spans="1:5" x14ac:dyDescent="0.25">
      <c r="A204" s="2">
        <v>43668</v>
      </c>
      <c r="B204">
        <v>2019</v>
      </c>
      <c r="C204">
        <v>7</v>
      </c>
      <c r="D204" s="1" t="s">
        <v>1020</v>
      </c>
      <c r="E204" s="1" t="s">
        <v>1021</v>
      </c>
    </row>
    <row r="205" spans="1:5" x14ac:dyDescent="0.25">
      <c r="A205" s="2">
        <v>43669</v>
      </c>
      <c r="B205">
        <v>2019</v>
      </c>
      <c r="C205">
        <v>7</v>
      </c>
      <c r="D205" s="1" t="s">
        <v>1020</v>
      </c>
      <c r="E205" s="1" t="s">
        <v>1021</v>
      </c>
    </row>
    <row r="206" spans="1:5" x14ac:dyDescent="0.25">
      <c r="A206" s="2">
        <v>43670</v>
      </c>
      <c r="B206">
        <v>2019</v>
      </c>
      <c r="C206">
        <v>7</v>
      </c>
      <c r="D206" s="1" t="s">
        <v>1020</v>
      </c>
      <c r="E206" s="1" t="s">
        <v>1021</v>
      </c>
    </row>
    <row r="207" spans="1:5" x14ac:dyDescent="0.25">
      <c r="A207" s="2">
        <v>43671</v>
      </c>
      <c r="B207">
        <v>2019</v>
      </c>
      <c r="C207">
        <v>7</v>
      </c>
      <c r="D207" s="1" t="s">
        <v>1020</v>
      </c>
      <c r="E207" s="1" t="s">
        <v>1021</v>
      </c>
    </row>
    <row r="208" spans="1:5" x14ac:dyDescent="0.25">
      <c r="A208" s="2">
        <v>43672</v>
      </c>
      <c r="B208">
        <v>2019</v>
      </c>
      <c r="C208">
        <v>7</v>
      </c>
      <c r="D208" s="1" t="s">
        <v>1020</v>
      </c>
      <c r="E208" s="1" t="s">
        <v>1021</v>
      </c>
    </row>
    <row r="209" spans="1:5" x14ac:dyDescent="0.25">
      <c r="A209" s="2">
        <v>43673</v>
      </c>
      <c r="B209">
        <v>2019</v>
      </c>
      <c r="C209">
        <v>7</v>
      </c>
      <c r="D209" s="1" t="s">
        <v>1020</v>
      </c>
      <c r="E209" s="1" t="s">
        <v>1021</v>
      </c>
    </row>
    <row r="210" spans="1:5" x14ac:dyDescent="0.25">
      <c r="A210" s="2">
        <v>43674</v>
      </c>
      <c r="B210">
        <v>2019</v>
      </c>
      <c r="C210">
        <v>7</v>
      </c>
      <c r="D210" s="1" t="s">
        <v>1020</v>
      </c>
      <c r="E210" s="1" t="s">
        <v>1021</v>
      </c>
    </row>
    <row r="211" spans="1:5" x14ac:dyDescent="0.25">
      <c r="A211" s="2">
        <v>43675</v>
      </c>
      <c r="B211">
        <v>2019</v>
      </c>
      <c r="C211">
        <v>7</v>
      </c>
      <c r="D211" s="1" t="s">
        <v>1020</v>
      </c>
      <c r="E211" s="1" t="s">
        <v>1021</v>
      </c>
    </row>
    <row r="212" spans="1:5" x14ac:dyDescent="0.25">
      <c r="A212" s="2">
        <v>43676</v>
      </c>
      <c r="B212">
        <v>2019</v>
      </c>
      <c r="C212">
        <v>7</v>
      </c>
      <c r="D212" s="1" t="s">
        <v>1020</v>
      </c>
      <c r="E212" s="1" t="s">
        <v>1021</v>
      </c>
    </row>
    <row r="213" spans="1:5" x14ac:dyDescent="0.25">
      <c r="A213" s="2">
        <v>43677</v>
      </c>
      <c r="B213">
        <v>2019</v>
      </c>
      <c r="C213">
        <v>7</v>
      </c>
      <c r="D213" s="1" t="s">
        <v>1020</v>
      </c>
      <c r="E213" s="1" t="s">
        <v>1021</v>
      </c>
    </row>
    <row r="214" spans="1:5" x14ac:dyDescent="0.25">
      <c r="A214" s="2">
        <v>43678</v>
      </c>
      <c r="B214">
        <v>2019</v>
      </c>
      <c r="C214">
        <v>8</v>
      </c>
      <c r="D214" s="1" t="s">
        <v>1022</v>
      </c>
      <c r="E214" s="1" t="s">
        <v>1021</v>
      </c>
    </row>
    <row r="215" spans="1:5" x14ac:dyDescent="0.25">
      <c r="A215" s="2">
        <v>43679</v>
      </c>
      <c r="B215">
        <v>2019</v>
      </c>
      <c r="C215">
        <v>8</v>
      </c>
      <c r="D215" s="1" t="s">
        <v>1022</v>
      </c>
      <c r="E215" s="1" t="s">
        <v>1021</v>
      </c>
    </row>
    <row r="216" spans="1:5" x14ac:dyDescent="0.25">
      <c r="A216" s="2">
        <v>43680</v>
      </c>
      <c r="B216">
        <v>2019</v>
      </c>
      <c r="C216">
        <v>8</v>
      </c>
      <c r="D216" s="1" t="s">
        <v>1022</v>
      </c>
      <c r="E216" s="1" t="s">
        <v>1021</v>
      </c>
    </row>
    <row r="217" spans="1:5" x14ac:dyDescent="0.25">
      <c r="A217" s="2">
        <v>43681</v>
      </c>
      <c r="B217">
        <v>2019</v>
      </c>
      <c r="C217">
        <v>8</v>
      </c>
      <c r="D217" s="1" t="s">
        <v>1022</v>
      </c>
      <c r="E217" s="1" t="s">
        <v>1021</v>
      </c>
    </row>
    <row r="218" spans="1:5" x14ac:dyDescent="0.25">
      <c r="A218" s="2">
        <v>43682</v>
      </c>
      <c r="B218">
        <v>2019</v>
      </c>
      <c r="C218">
        <v>8</v>
      </c>
      <c r="D218" s="1" t="s">
        <v>1022</v>
      </c>
      <c r="E218" s="1" t="s">
        <v>1021</v>
      </c>
    </row>
    <row r="219" spans="1:5" x14ac:dyDescent="0.25">
      <c r="A219" s="2">
        <v>43683</v>
      </c>
      <c r="B219">
        <v>2019</v>
      </c>
      <c r="C219">
        <v>8</v>
      </c>
      <c r="D219" s="1" t="s">
        <v>1022</v>
      </c>
      <c r="E219" s="1" t="s">
        <v>1021</v>
      </c>
    </row>
    <row r="220" spans="1:5" x14ac:dyDescent="0.25">
      <c r="A220" s="2">
        <v>43684</v>
      </c>
      <c r="B220">
        <v>2019</v>
      </c>
      <c r="C220">
        <v>8</v>
      </c>
      <c r="D220" s="1" t="s">
        <v>1022</v>
      </c>
      <c r="E220" s="1" t="s">
        <v>1021</v>
      </c>
    </row>
    <row r="221" spans="1:5" x14ac:dyDescent="0.25">
      <c r="A221" s="2">
        <v>43685</v>
      </c>
      <c r="B221">
        <v>2019</v>
      </c>
      <c r="C221">
        <v>8</v>
      </c>
      <c r="D221" s="1" t="s">
        <v>1022</v>
      </c>
      <c r="E221" s="1" t="s">
        <v>1021</v>
      </c>
    </row>
    <row r="222" spans="1:5" x14ac:dyDescent="0.25">
      <c r="A222" s="2">
        <v>43686</v>
      </c>
      <c r="B222">
        <v>2019</v>
      </c>
      <c r="C222">
        <v>8</v>
      </c>
      <c r="D222" s="1" t="s">
        <v>1022</v>
      </c>
      <c r="E222" s="1" t="s">
        <v>1021</v>
      </c>
    </row>
    <row r="223" spans="1:5" x14ac:dyDescent="0.25">
      <c r="A223" s="2">
        <v>43687</v>
      </c>
      <c r="B223">
        <v>2019</v>
      </c>
      <c r="C223">
        <v>8</v>
      </c>
      <c r="D223" s="1" t="s">
        <v>1022</v>
      </c>
      <c r="E223" s="1" t="s">
        <v>1021</v>
      </c>
    </row>
    <row r="224" spans="1:5" x14ac:dyDescent="0.25">
      <c r="A224" s="2">
        <v>43688</v>
      </c>
      <c r="B224">
        <v>2019</v>
      </c>
      <c r="C224">
        <v>8</v>
      </c>
      <c r="D224" s="1" t="s">
        <v>1022</v>
      </c>
      <c r="E224" s="1" t="s">
        <v>1021</v>
      </c>
    </row>
    <row r="225" spans="1:5" x14ac:dyDescent="0.25">
      <c r="A225" s="2">
        <v>43689</v>
      </c>
      <c r="B225">
        <v>2019</v>
      </c>
      <c r="C225">
        <v>8</v>
      </c>
      <c r="D225" s="1" t="s">
        <v>1022</v>
      </c>
      <c r="E225" s="1" t="s">
        <v>1021</v>
      </c>
    </row>
    <row r="226" spans="1:5" x14ac:dyDescent="0.25">
      <c r="A226" s="2">
        <v>43690</v>
      </c>
      <c r="B226">
        <v>2019</v>
      </c>
      <c r="C226">
        <v>8</v>
      </c>
      <c r="D226" s="1" t="s">
        <v>1022</v>
      </c>
      <c r="E226" s="1" t="s">
        <v>1021</v>
      </c>
    </row>
    <row r="227" spans="1:5" x14ac:dyDescent="0.25">
      <c r="A227" s="2">
        <v>43691</v>
      </c>
      <c r="B227">
        <v>2019</v>
      </c>
      <c r="C227">
        <v>8</v>
      </c>
      <c r="D227" s="1" t="s">
        <v>1022</v>
      </c>
      <c r="E227" s="1" t="s">
        <v>1021</v>
      </c>
    </row>
    <row r="228" spans="1:5" x14ac:dyDescent="0.25">
      <c r="A228" s="2">
        <v>43692</v>
      </c>
      <c r="B228">
        <v>2019</v>
      </c>
      <c r="C228">
        <v>8</v>
      </c>
      <c r="D228" s="1" t="s">
        <v>1022</v>
      </c>
      <c r="E228" s="1" t="s">
        <v>1021</v>
      </c>
    </row>
    <row r="229" spans="1:5" x14ac:dyDescent="0.25">
      <c r="A229" s="2">
        <v>43693</v>
      </c>
      <c r="B229">
        <v>2019</v>
      </c>
      <c r="C229">
        <v>8</v>
      </c>
      <c r="D229" s="1" t="s">
        <v>1022</v>
      </c>
      <c r="E229" s="1" t="s">
        <v>1021</v>
      </c>
    </row>
    <row r="230" spans="1:5" x14ac:dyDescent="0.25">
      <c r="A230" s="2">
        <v>43694</v>
      </c>
      <c r="B230">
        <v>2019</v>
      </c>
      <c r="C230">
        <v>8</v>
      </c>
      <c r="D230" s="1" t="s">
        <v>1022</v>
      </c>
      <c r="E230" s="1" t="s">
        <v>1021</v>
      </c>
    </row>
    <row r="231" spans="1:5" x14ac:dyDescent="0.25">
      <c r="A231" s="2">
        <v>43695</v>
      </c>
      <c r="B231">
        <v>2019</v>
      </c>
      <c r="C231">
        <v>8</v>
      </c>
      <c r="D231" s="1" t="s">
        <v>1022</v>
      </c>
      <c r="E231" s="1" t="s">
        <v>1021</v>
      </c>
    </row>
    <row r="232" spans="1:5" x14ac:dyDescent="0.25">
      <c r="A232" s="2">
        <v>43696</v>
      </c>
      <c r="B232">
        <v>2019</v>
      </c>
      <c r="C232">
        <v>8</v>
      </c>
      <c r="D232" s="1" t="s">
        <v>1022</v>
      </c>
      <c r="E232" s="1" t="s">
        <v>1021</v>
      </c>
    </row>
    <row r="233" spans="1:5" x14ac:dyDescent="0.25">
      <c r="A233" s="2">
        <v>43697</v>
      </c>
      <c r="B233">
        <v>2019</v>
      </c>
      <c r="C233">
        <v>8</v>
      </c>
      <c r="D233" s="1" t="s">
        <v>1022</v>
      </c>
      <c r="E233" s="1" t="s">
        <v>1021</v>
      </c>
    </row>
    <row r="234" spans="1:5" x14ac:dyDescent="0.25">
      <c r="A234" s="2">
        <v>43698</v>
      </c>
      <c r="B234">
        <v>2019</v>
      </c>
      <c r="C234">
        <v>8</v>
      </c>
      <c r="D234" s="1" t="s">
        <v>1022</v>
      </c>
      <c r="E234" s="1" t="s">
        <v>1021</v>
      </c>
    </row>
    <row r="235" spans="1:5" x14ac:dyDescent="0.25">
      <c r="A235" s="2">
        <v>43699</v>
      </c>
      <c r="B235">
        <v>2019</v>
      </c>
      <c r="C235">
        <v>8</v>
      </c>
      <c r="D235" s="1" t="s">
        <v>1022</v>
      </c>
      <c r="E235" s="1" t="s">
        <v>1021</v>
      </c>
    </row>
    <row r="236" spans="1:5" x14ac:dyDescent="0.25">
      <c r="A236" s="2">
        <v>43700</v>
      </c>
      <c r="B236">
        <v>2019</v>
      </c>
      <c r="C236">
        <v>8</v>
      </c>
      <c r="D236" s="1" t="s">
        <v>1022</v>
      </c>
      <c r="E236" s="1" t="s">
        <v>1021</v>
      </c>
    </row>
    <row r="237" spans="1:5" x14ac:dyDescent="0.25">
      <c r="A237" s="2">
        <v>43701</v>
      </c>
      <c r="B237">
        <v>2019</v>
      </c>
      <c r="C237">
        <v>8</v>
      </c>
      <c r="D237" s="1" t="s">
        <v>1022</v>
      </c>
      <c r="E237" s="1" t="s">
        <v>1021</v>
      </c>
    </row>
    <row r="238" spans="1:5" x14ac:dyDescent="0.25">
      <c r="A238" s="2">
        <v>43702</v>
      </c>
      <c r="B238">
        <v>2019</v>
      </c>
      <c r="C238">
        <v>8</v>
      </c>
      <c r="D238" s="1" t="s">
        <v>1022</v>
      </c>
      <c r="E238" s="1" t="s">
        <v>1021</v>
      </c>
    </row>
    <row r="239" spans="1:5" x14ac:dyDescent="0.25">
      <c r="A239" s="2">
        <v>43703</v>
      </c>
      <c r="B239">
        <v>2019</v>
      </c>
      <c r="C239">
        <v>8</v>
      </c>
      <c r="D239" s="1" t="s">
        <v>1022</v>
      </c>
      <c r="E239" s="1" t="s">
        <v>1021</v>
      </c>
    </row>
    <row r="240" spans="1:5" x14ac:dyDescent="0.25">
      <c r="A240" s="2">
        <v>43704</v>
      </c>
      <c r="B240">
        <v>2019</v>
      </c>
      <c r="C240">
        <v>8</v>
      </c>
      <c r="D240" s="1" t="s">
        <v>1022</v>
      </c>
      <c r="E240" s="1" t="s">
        <v>1021</v>
      </c>
    </row>
    <row r="241" spans="1:5" x14ac:dyDescent="0.25">
      <c r="A241" s="2">
        <v>43705</v>
      </c>
      <c r="B241">
        <v>2019</v>
      </c>
      <c r="C241">
        <v>8</v>
      </c>
      <c r="D241" s="1" t="s">
        <v>1022</v>
      </c>
      <c r="E241" s="1" t="s">
        <v>1021</v>
      </c>
    </row>
    <row r="242" spans="1:5" x14ac:dyDescent="0.25">
      <c r="A242" s="2">
        <v>43706</v>
      </c>
      <c r="B242">
        <v>2019</v>
      </c>
      <c r="C242">
        <v>8</v>
      </c>
      <c r="D242" s="1" t="s">
        <v>1022</v>
      </c>
      <c r="E242" s="1" t="s">
        <v>1021</v>
      </c>
    </row>
    <row r="243" spans="1:5" x14ac:dyDescent="0.25">
      <c r="A243" s="2">
        <v>43707</v>
      </c>
      <c r="B243">
        <v>2019</v>
      </c>
      <c r="C243">
        <v>8</v>
      </c>
      <c r="D243" s="1" t="s">
        <v>1022</v>
      </c>
      <c r="E243" s="1" t="s">
        <v>1021</v>
      </c>
    </row>
    <row r="244" spans="1:5" x14ac:dyDescent="0.25">
      <c r="A244" s="2">
        <v>43708</v>
      </c>
      <c r="B244">
        <v>2019</v>
      </c>
      <c r="C244">
        <v>8</v>
      </c>
      <c r="D244" s="1" t="s">
        <v>1022</v>
      </c>
      <c r="E244" s="1" t="s">
        <v>1021</v>
      </c>
    </row>
    <row r="245" spans="1:5" x14ac:dyDescent="0.25">
      <c r="A245" s="2">
        <v>43709</v>
      </c>
      <c r="B245">
        <v>2019</v>
      </c>
      <c r="C245">
        <v>9</v>
      </c>
      <c r="D245" s="1" t="s">
        <v>1023</v>
      </c>
      <c r="E245" s="1" t="s">
        <v>1021</v>
      </c>
    </row>
    <row r="246" spans="1:5" x14ac:dyDescent="0.25">
      <c r="A246" s="2">
        <v>43710</v>
      </c>
      <c r="B246">
        <v>2019</v>
      </c>
      <c r="C246">
        <v>9</v>
      </c>
      <c r="D246" s="1" t="s">
        <v>1023</v>
      </c>
      <c r="E246" s="1" t="s">
        <v>1021</v>
      </c>
    </row>
    <row r="247" spans="1:5" x14ac:dyDescent="0.25">
      <c r="A247" s="2">
        <v>43711</v>
      </c>
      <c r="B247">
        <v>2019</v>
      </c>
      <c r="C247">
        <v>9</v>
      </c>
      <c r="D247" s="1" t="s">
        <v>1023</v>
      </c>
      <c r="E247" s="1" t="s">
        <v>1021</v>
      </c>
    </row>
    <row r="248" spans="1:5" x14ac:dyDescent="0.25">
      <c r="A248" s="2">
        <v>43712</v>
      </c>
      <c r="B248">
        <v>2019</v>
      </c>
      <c r="C248">
        <v>9</v>
      </c>
      <c r="D248" s="1" t="s">
        <v>1023</v>
      </c>
      <c r="E248" s="1" t="s">
        <v>1021</v>
      </c>
    </row>
    <row r="249" spans="1:5" x14ac:dyDescent="0.25">
      <c r="A249" s="2">
        <v>43713</v>
      </c>
      <c r="B249">
        <v>2019</v>
      </c>
      <c r="C249">
        <v>9</v>
      </c>
      <c r="D249" s="1" t="s">
        <v>1023</v>
      </c>
      <c r="E249" s="1" t="s">
        <v>1021</v>
      </c>
    </row>
    <row r="250" spans="1:5" x14ac:dyDescent="0.25">
      <c r="A250" s="2">
        <v>43714</v>
      </c>
      <c r="B250">
        <v>2019</v>
      </c>
      <c r="C250">
        <v>9</v>
      </c>
      <c r="D250" s="1" t="s">
        <v>1023</v>
      </c>
      <c r="E250" s="1" t="s">
        <v>1021</v>
      </c>
    </row>
    <row r="251" spans="1:5" x14ac:dyDescent="0.25">
      <c r="A251" s="2">
        <v>43715</v>
      </c>
      <c r="B251">
        <v>2019</v>
      </c>
      <c r="C251">
        <v>9</v>
      </c>
      <c r="D251" s="1" t="s">
        <v>1023</v>
      </c>
      <c r="E251" s="1" t="s">
        <v>1021</v>
      </c>
    </row>
    <row r="252" spans="1:5" x14ac:dyDescent="0.25">
      <c r="A252" s="2">
        <v>43716</v>
      </c>
      <c r="B252">
        <v>2019</v>
      </c>
      <c r="C252">
        <v>9</v>
      </c>
      <c r="D252" s="1" t="s">
        <v>1023</v>
      </c>
      <c r="E252" s="1" t="s">
        <v>1021</v>
      </c>
    </row>
    <row r="253" spans="1:5" x14ac:dyDescent="0.25">
      <c r="A253" s="2">
        <v>43717</v>
      </c>
      <c r="B253">
        <v>2019</v>
      </c>
      <c r="C253">
        <v>9</v>
      </c>
      <c r="D253" s="1" t="s">
        <v>1023</v>
      </c>
      <c r="E253" s="1" t="s">
        <v>1021</v>
      </c>
    </row>
    <row r="254" spans="1:5" x14ac:dyDescent="0.25">
      <c r="A254" s="2">
        <v>43718</v>
      </c>
      <c r="B254">
        <v>2019</v>
      </c>
      <c r="C254">
        <v>9</v>
      </c>
      <c r="D254" s="1" t="s">
        <v>1023</v>
      </c>
      <c r="E254" s="1" t="s">
        <v>1021</v>
      </c>
    </row>
    <row r="255" spans="1:5" x14ac:dyDescent="0.25">
      <c r="A255" s="2">
        <v>43719</v>
      </c>
      <c r="B255">
        <v>2019</v>
      </c>
      <c r="C255">
        <v>9</v>
      </c>
      <c r="D255" s="1" t="s">
        <v>1023</v>
      </c>
      <c r="E255" s="1" t="s">
        <v>1021</v>
      </c>
    </row>
    <row r="256" spans="1:5" x14ac:dyDescent="0.25">
      <c r="A256" s="2">
        <v>43720</v>
      </c>
      <c r="B256">
        <v>2019</v>
      </c>
      <c r="C256">
        <v>9</v>
      </c>
      <c r="D256" s="1" t="s">
        <v>1023</v>
      </c>
      <c r="E256" s="1" t="s">
        <v>1021</v>
      </c>
    </row>
    <row r="257" spans="1:5" x14ac:dyDescent="0.25">
      <c r="A257" s="2">
        <v>43721</v>
      </c>
      <c r="B257">
        <v>2019</v>
      </c>
      <c r="C257">
        <v>9</v>
      </c>
      <c r="D257" s="1" t="s">
        <v>1023</v>
      </c>
      <c r="E257" s="1" t="s">
        <v>1021</v>
      </c>
    </row>
    <row r="258" spans="1:5" x14ac:dyDescent="0.25">
      <c r="A258" s="2">
        <v>43722</v>
      </c>
      <c r="B258">
        <v>2019</v>
      </c>
      <c r="C258">
        <v>9</v>
      </c>
      <c r="D258" s="1" t="s">
        <v>1023</v>
      </c>
      <c r="E258" s="1" t="s">
        <v>1021</v>
      </c>
    </row>
    <row r="259" spans="1:5" x14ac:dyDescent="0.25">
      <c r="A259" s="2">
        <v>43723</v>
      </c>
      <c r="B259">
        <v>2019</v>
      </c>
      <c r="C259">
        <v>9</v>
      </c>
      <c r="D259" s="1" t="s">
        <v>1023</v>
      </c>
      <c r="E259" s="1" t="s">
        <v>1021</v>
      </c>
    </row>
    <row r="260" spans="1:5" x14ac:dyDescent="0.25">
      <c r="A260" s="2">
        <v>43724</v>
      </c>
      <c r="B260">
        <v>2019</v>
      </c>
      <c r="C260">
        <v>9</v>
      </c>
      <c r="D260" s="1" t="s">
        <v>1023</v>
      </c>
      <c r="E260" s="1" t="s">
        <v>1021</v>
      </c>
    </row>
    <row r="261" spans="1:5" x14ac:dyDescent="0.25">
      <c r="A261" s="2">
        <v>43725</v>
      </c>
      <c r="B261">
        <v>2019</v>
      </c>
      <c r="C261">
        <v>9</v>
      </c>
      <c r="D261" s="1" t="s">
        <v>1023</v>
      </c>
      <c r="E261" s="1" t="s">
        <v>1021</v>
      </c>
    </row>
    <row r="262" spans="1:5" x14ac:dyDescent="0.25">
      <c r="A262" s="2">
        <v>43726</v>
      </c>
      <c r="B262">
        <v>2019</v>
      </c>
      <c r="C262">
        <v>9</v>
      </c>
      <c r="D262" s="1" t="s">
        <v>1023</v>
      </c>
      <c r="E262" s="1" t="s">
        <v>1021</v>
      </c>
    </row>
    <row r="263" spans="1:5" x14ac:dyDescent="0.25">
      <c r="A263" s="2">
        <v>43727</v>
      </c>
      <c r="B263">
        <v>2019</v>
      </c>
      <c r="C263">
        <v>9</v>
      </c>
      <c r="D263" s="1" t="s">
        <v>1023</v>
      </c>
      <c r="E263" s="1" t="s">
        <v>1021</v>
      </c>
    </row>
    <row r="264" spans="1:5" x14ac:dyDescent="0.25">
      <c r="A264" s="2">
        <v>43728</v>
      </c>
      <c r="B264">
        <v>2019</v>
      </c>
      <c r="C264">
        <v>9</v>
      </c>
      <c r="D264" s="1" t="s">
        <v>1023</v>
      </c>
      <c r="E264" s="1" t="s">
        <v>1021</v>
      </c>
    </row>
    <row r="265" spans="1:5" x14ac:dyDescent="0.25">
      <c r="A265" s="2">
        <v>43729</v>
      </c>
      <c r="B265">
        <v>2019</v>
      </c>
      <c r="C265">
        <v>9</v>
      </c>
      <c r="D265" s="1" t="s">
        <v>1023</v>
      </c>
      <c r="E265" s="1" t="s">
        <v>1021</v>
      </c>
    </row>
    <row r="266" spans="1:5" x14ac:dyDescent="0.25">
      <c r="A266" s="2">
        <v>43730</v>
      </c>
      <c r="B266">
        <v>2019</v>
      </c>
      <c r="C266">
        <v>9</v>
      </c>
      <c r="D266" s="1" t="s">
        <v>1023</v>
      </c>
      <c r="E266" s="1" t="s">
        <v>1021</v>
      </c>
    </row>
    <row r="267" spans="1:5" x14ac:dyDescent="0.25">
      <c r="A267" s="2">
        <v>43731</v>
      </c>
      <c r="B267">
        <v>2019</v>
      </c>
      <c r="C267">
        <v>9</v>
      </c>
      <c r="D267" s="1" t="s">
        <v>1023</v>
      </c>
      <c r="E267" s="1" t="s">
        <v>1021</v>
      </c>
    </row>
    <row r="268" spans="1:5" x14ac:dyDescent="0.25">
      <c r="A268" s="2">
        <v>43732</v>
      </c>
      <c r="B268">
        <v>2019</v>
      </c>
      <c r="C268">
        <v>9</v>
      </c>
      <c r="D268" s="1" t="s">
        <v>1023</v>
      </c>
      <c r="E268" s="1" t="s">
        <v>1021</v>
      </c>
    </row>
    <row r="269" spans="1:5" x14ac:dyDescent="0.25">
      <c r="A269" s="2">
        <v>43733</v>
      </c>
      <c r="B269">
        <v>2019</v>
      </c>
      <c r="C269">
        <v>9</v>
      </c>
      <c r="D269" s="1" t="s">
        <v>1023</v>
      </c>
      <c r="E269" s="1" t="s">
        <v>1021</v>
      </c>
    </row>
    <row r="270" spans="1:5" x14ac:dyDescent="0.25">
      <c r="A270" s="2">
        <v>43734</v>
      </c>
      <c r="B270">
        <v>2019</v>
      </c>
      <c r="C270">
        <v>9</v>
      </c>
      <c r="D270" s="1" t="s">
        <v>1023</v>
      </c>
      <c r="E270" s="1" t="s">
        <v>1021</v>
      </c>
    </row>
    <row r="271" spans="1:5" x14ac:dyDescent="0.25">
      <c r="A271" s="2">
        <v>43735</v>
      </c>
      <c r="B271">
        <v>2019</v>
      </c>
      <c r="C271">
        <v>9</v>
      </c>
      <c r="D271" s="1" t="s">
        <v>1023</v>
      </c>
      <c r="E271" s="1" t="s">
        <v>1021</v>
      </c>
    </row>
    <row r="272" spans="1:5" x14ac:dyDescent="0.25">
      <c r="A272" s="2">
        <v>43736</v>
      </c>
      <c r="B272">
        <v>2019</v>
      </c>
      <c r="C272">
        <v>9</v>
      </c>
      <c r="D272" s="1" t="s">
        <v>1023</v>
      </c>
      <c r="E272" s="1" t="s">
        <v>1021</v>
      </c>
    </row>
    <row r="273" spans="1:5" x14ac:dyDescent="0.25">
      <c r="A273" s="2">
        <v>43737</v>
      </c>
      <c r="B273">
        <v>2019</v>
      </c>
      <c r="C273">
        <v>9</v>
      </c>
      <c r="D273" s="1" t="s">
        <v>1023</v>
      </c>
      <c r="E273" s="1" t="s">
        <v>1021</v>
      </c>
    </row>
    <row r="274" spans="1:5" x14ac:dyDescent="0.25">
      <c r="A274" s="2">
        <v>43738</v>
      </c>
      <c r="B274">
        <v>2019</v>
      </c>
      <c r="C274">
        <v>9</v>
      </c>
      <c r="D274" s="1" t="s">
        <v>1023</v>
      </c>
      <c r="E274" s="1" t="s">
        <v>1021</v>
      </c>
    </row>
    <row r="275" spans="1:5" x14ac:dyDescent="0.25">
      <c r="A275" s="2">
        <v>43739</v>
      </c>
      <c r="B275">
        <v>2019</v>
      </c>
      <c r="C275">
        <v>10</v>
      </c>
      <c r="D275" s="1" t="s">
        <v>1024</v>
      </c>
      <c r="E275" s="1" t="s">
        <v>1025</v>
      </c>
    </row>
    <row r="276" spans="1:5" x14ac:dyDescent="0.25">
      <c r="A276" s="2">
        <v>43740</v>
      </c>
      <c r="B276">
        <v>2019</v>
      </c>
      <c r="C276">
        <v>10</v>
      </c>
      <c r="D276" s="1" t="s">
        <v>1024</v>
      </c>
      <c r="E276" s="1" t="s">
        <v>1025</v>
      </c>
    </row>
    <row r="277" spans="1:5" x14ac:dyDescent="0.25">
      <c r="A277" s="2">
        <v>43741</v>
      </c>
      <c r="B277">
        <v>2019</v>
      </c>
      <c r="C277">
        <v>10</v>
      </c>
      <c r="D277" s="1" t="s">
        <v>1024</v>
      </c>
      <c r="E277" s="1" t="s">
        <v>1025</v>
      </c>
    </row>
    <row r="278" spans="1:5" x14ac:dyDescent="0.25">
      <c r="A278" s="2">
        <v>43742</v>
      </c>
      <c r="B278">
        <v>2019</v>
      </c>
      <c r="C278">
        <v>10</v>
      </c>
      <c r="D278" s="1" t="s">
        <v>1024</v>
      </c>
      <c r="E278" s="1" t="s">
        <v>1025</v>
      </c>
    </row>
    <row r="279" spans="1:5" x14ac:dyDescent="0.25">
      <c r="A279" s="2">
        <v>43743</v>
      </c>
      <c r="B279">
        <v>2019</v>
      </c>
      <c r="C279">
        <v>10</v>
      </c>
      <c r="D279" s="1" t="s">
        <v>1024</v>
      </c>
      <c r="E279" s="1" t="s">
        <v>1025</v>
      </c>
    </row>
    <row r="280" spans="1:5" x14ac:dyDescent="0.25">
      <c r="A280" s="2">
        <v>43744</v>
      </c>
      <c r="B280">
        <v>2019</v>
      </c>
      <c r="C280">
        <v>10</v>
      </c>
      <c r="D280" s="1" t="s">
        <v>1024</v>
      </c>
      <c r="E280" s="1" t="s">
        <v>1025</v>
      </c>
    </row>
    <row r="281" spans="1:5" x14ac:dyDescent="0.25">
      <c r="A281" s="2">
        <v>43745</v>
      </c>
      <c r="B281">
        <v>2019</v>
      </c>
      <c r="C281">
        <v>10</v>
      </c>
      <c r="D281" s="1" t="s">
        <v>1024</v>
      </c>
      <c r="E281" s="1" t="s">
        <v>1025</v>
      </c>
    </row>
    <row r="282" spans="1:5" x14ac:dyDescent="0.25">
      <c r="A282" s="2">
        <v>43746</v>
      </c>
      <c r="B282">
        <v>2019</v>
      </c>
      <c r="C282">
        <v>10</v>
      </c>
      <c r="D282" s="1" t="s">
        <v>1024</v>
      </c>
      <c r="E282" s="1" t="s">
        <v>1025</v>
      </c>
    </row>
    <row r="283" spans="1:5" x14ac:dyDescent="0.25">
      <c r="A283" s="2">
        <v>43747</v>
      </c>
      <c r="B283">
        <v>2019</v>
      </c>
      <c r="C283">
        <v>10</v>
      </c>
      <c r="D283" s="1" t="s">
        <v>1024</v>
      </c>
      <c r="E283" s="1" t="s">
        <v>1025</v>
      </c>
    </row>
    <row r="284" spans="1:5" x14ac:dyDescent="0.25">
      <c r="A284" s="2">
        <v>43748</v>
      </c>
      <c r="B284">
        <v>2019</v>
      </c>
      <c r="C284">
        <v>10</v>
      </c>
      <c r="D284" s="1" t="s">
        <v>1024</v>
      </c>
      <c r="E284" s="1" t="s">
        <v>1025</v>
      </c>
    </row>
    <row r="285" spans="1:5" x14ac:dyDescent="0.25">
      <c r="A285" s="2">
        <v>43749</v>
      </c>
      <c r="B285">
        <v>2019</v>
      </c>
      <c r="C285">
        <v>10</v>
      </c>
      <c r="D285" s="1" t="s">
        <v>1024</v>
      </c>
      <c r="E285" s="1" t="s">
        <v>1025</v>
      </c>
    </row>
    <row r="286" spans="1:5" x14ac:dyDescent="0.25">
      <c r="A286" s="2">
        <v>43750</v>
      </c>
      <c r="B286">
        <v>2019</v>
      </c>
      <c r="C286">
        <v>10</v>
      </c>
      <c r="D286" s="1" t="s">
        <v>1024</v>
      </c>
      <c r="E286" s="1" t="s">
        <v>1025</v>
      </c>
    </row>
    <row r="287" spans="1:5" x14ac:dyDescent="0.25">
      <c r="A287" s="2">
        <v>43751</v>
      </c>
      <c r="B287">
        <v>2019</v>
      </c>
      <c r="C287">
        <v>10</v>
      </c>
      <c r="D287" s="1" t="s">
        <v>1024</v>
      </c>
      <c r="E287" s="1" t="s">
        <v>1025</v>
      </c>
    </row>
    <row r="288" spans="1:5" x14ac:dyDescent="0.25">
      <c r="A288" s="2">
        <v>43752</v>
      </c>
      <c r="B288">
        <v>2019</v>
      </c>
      <c r="C288">
        <v>10</v>
      </c>
      <c r="D288" s="1" t="s">
        <v>1024</v>
      </c>
      <c r="E288" s="1" t="s">
        <v>1025</v>
      </c>
    </row>
    <row r="289" spans="1:5" x14ac:dyDescent="0.25">
      <c r="A289" s="2">
        <v>43753</v>
      </c>
      <c r="B289">
        <v>2019</v>
      </c>
      <c r="C289">
        <v>10</v>
      </c>
      <c r="D289" s="1" t="s">
        <v>1024</v>
      </c>
      <c r="E289" s="1" t="s">
        <v>1025</v>
      </c>
    </row>
    <row r="290" spans="1:5" x14ac:dyDescent="0.25">
      <c r="A290" s="2">
        <v>43754</v>
      </c>
      <c r="B290">
        <v>2019</v>
      </c>
      <c r="C290">
        <v>10</v>
      </c>
      <c r="D290" s="1" t="s">
        <v>1024</v>
      </c>
      <c r="E290" s="1" t="s">
        <v>1025</v>
      </c>
    </row>
    <row r="291" spans="1:5" x14ac:dyDescent="0.25">
      <c r="A291" s="2">
        <v>43755</v>
      </c>
      <c r="B291">
        <v>2019</v>
      </c>
      <c r="C291">
        <v>10</v>
      </c>
      <c r="D291" s="1" t="s">
        <v>1024</v>
      </c>
      <c r="E291" s="1" t="s">
        <v>1025</v>
      </c>
    </row>
    <row r="292" spans="1:5" x14ac:dyDescent="0.25">
      <c r="A292" s="2">
        <v>43756</v>
      </c>
      <c r="B292">
        <v>2019</v>
      </c>
      <c r="C292">
        <v>10</v>
      </c>
      <c r="D292" s="1" t="s">
        <v>1024</v>
      </c>
      <c r="E292" s="1" t="s">
        <v>1025</v>
      </c>
    </row>
    <row r="293" spans="1:5" x14ac:dyDescent="0.25">
      <c r="A293" s="2">
        <v>43757</v>
      </c>
      <c r="B293">
        <v>2019</v>
      </c>
      <c r="C293">
        <v>10</v>
      </c>
      <c r="D293" s="1" t="s">
        <v>1024</v>
      </c>
      <c r="E293" s="1" t="s">
        <v>1025</v>
      </c>
    </row>
    <row r="294" spans="1:5" x14ac:dyDescent="0.25">
      <c r="A294" s="2">
        <v>43758</v>
      </c>
      <c r="B294">
        <v>2019</v>
      </c>
      <c r="C294">
        <v>10</v>
      </c>
      <c r="D294" s="1" t="s">
        <v>1024</v>
      </c>
      <c r="E294" s="1" t="s">
        <v>1025</v>
      </c>
    </row>
    <row r="295" spans="1:5" x14ac:dyDescent="0.25">
      <c r="A295" s="2">
        <v>43759</v>
      </c>
      <c r="B295">
        <v>2019</v>
      </c>
      <c r="C295">
        <v>10</v>
      </c>
      <c r="D295" s="1" t="s">
        <v>1024</v>
      </c>
      <c r="E295" s="1" t="s">
        <v>1025</v>
      </c>
    </row>
    <row r="296" spans="1:5" x14ac:dyDescent="0.25">
      <c r="A296" s="2">
        <v>43760</v>
      </c>
      <c r="B296">
        <v>2019</v>
      </c>
      <c r="C296">
        <v>10</v>
      </c>
      <c r="D296" s="1" t="s">
        <v>1024</v>
      </c>
      <c r="E296" s="1" t="s">
        <v>1025</v>
      </c>
    </row>
    <row r="297" spans="1:5" x14ac:dyDescent="0.25">
      <c r="A297" s="2">
        <v>43761</v>
      </c>
      <c r="B297">
        <v>2019</v>
      </c>
      <c r="C297">
        <v>10</v>
      </c>
      <c r="D297" s="1" t="s">
        <v>1024</v>
      </c>
      <c r="E297" s="1" t="s">
        <v>1025</v>
      </c>
    </row>
    <row r="298" spans="1:5" x14ac:dyDescent="0.25">
      <c r="A298" s="2">
        <v>43762</v>
      </c>
      <c r="B298">
        <v>2019</v>
      </c>
      <c r="C298">
        <v>10</v>
      </c>
      <c r="D298" s="1" t="s">
        <v>1024</v>
      </c>
      <c r="E298" s="1" t="s">
        <v>1025</v>
      </c>
    </row>
    <row r="299" spans="1:5" x14ac:dyDescent="0.25">
      <c r="A299" s="2">
        <v>43763</v>
      </c>
      <c r="B299">
        <v>2019</v>
      </c>
      <c r="C299">
        <v>10</v>
      </c>
      <c r="D299" s="1" t="s">
        <v>1024</v>
      </c>
      <c r="E299" s="1" t="s">
        <v>1025</v>
      </c>
    </row>
    <row r="300" spans="1:5" x14ac:dyDescent="0.25">
      <c r="A300" s="2">
        <v>43764</v>
      </c>
      <c r="B300">
        <v>2019</v>
      </c>
      <c r="C300">
        <v>10</v>
      </c>
      <c r="D300" s="1" t="s">
        <v>1024</v>
      </c>
      <c r="E300" s="1" t="s">
        <v>1025</v>
      </c>
    </row>
    <row r="301" spans="1:5" x14ac:dyDescent="0.25">
      <c r="A301" s="2">
        <v>43765</v>
      </c>
      <c r="B301">
        <v>2019</v>
      </c>
      <c r="C301">
        <v>10</v>
      </c>
      <c r="D301" s="1" t="s">
        <v>1024</v>
      </c>
      <c r="E301" s="1" t="s">
        <v>1025</v>
      </c>
    </row>
    <row r="302" spans="1:5" x14ac:dyDescent="0.25">
      <c r="A302" s="2">
        <v>43766</v>
      </c>
      <c r="B302">
        <v>2019</v>
      </c>
      <c r="C302">
        <v>10</v>
      </c>
      <c r="D302" s="1" t="s">
        <v>1024</v>
      </c>
      <c r="E302" s="1" t="s">
        <v>1025</v>
      </c>
    </row>
    <row r="303" spans="1:5" x14ac:dyDescent="0.25">
      <c r="A303" s="2">
        <v>43767</v>
      </c>
      <c r="B303">
        <v>2019</v>
      </c>
      <c r="C303">
        <v>10</v>
      </c>
      <c r="D303" s="1" t="s">
        <v>1024</v>
      </c>
      <c r="E303" s="1" t="s">
        <v>1025</v>
      </c>
    </row>
    <row r="304" spans="1:5" x14ac:dyDescent="0.25">
      <c r="A304" s="2">
        <v>43768</v>
      </c>
      <c r="B304">
        <v>2019</v>
      </c>
      <c r="C304">
        <v>10</v>
      </c>
      <c r="D304" s="1" t="s">
        <v>1024</v>
      </c>
      <c r="E304" s="1" t="s">
        <v>1025</v>
      </c>
    </row>
    <row r="305" spans="1:5" x14ac:dyDescent="0.25">
      <c r="A305" s="2">
        <v>43769</v>
      </c>
      <c r="B305">
        <v>2019</v>
      </c>
      <c r="C305">
        <v>10</v>
      </c>
      <c r="D305" s="1" t="s">
        <v>1024</v>
      </c>
      <c r="E305" s="1" t="s">
        <v>1025</v>
      </c>
    </row>
    <row r="306" spans="1:5" x14ac:dyDescent="0.25">
      <c r="A306" s="2">
        <v>43770</v>
      </c>
      <c r="B306">
        <v>2019</v>
      </c>
      <c r="C306">
        <v>11</v>
      </c>
      <c r="D306" s="1" t="s">
        <v>1026</v>
      </c>
      <c r="E306" s="1" t="s">
        <v>1025</v>
      </c>
    </row>
    <row r="307" spans="1:5" x14ac:dyDescent="0.25">
      <c r="A307" s="2">
        <v>43771</v>
      </c>
      <c r="B307">
        <v>2019</v>
      </c>
      <c r="C307">
        <v>11</v>
      </c>
      <c r="D307" s="1" t="s">
        <v>1026</v>
      </c>
      <c r="E307" s="1" t="s">
        <v>1025</v>
      </c>
    </row>
    <row r="308" spans="1:5" x14ac:dyDescent="0.25">
      <c r="A308" s="2">
        <v>43772</v>
      </c>
      <c r="B308">
        <v>2019</v>
      </c>
      <c r="C308">
        <v>11</v>
      </c>
      <c r="D308" s="1" t="s">
        <v>1026</v>
      </c>
      <c r="E308" s="1" t="s">
        <v>1025</v>
      </c>
    </row>
    <row r="309" spans="1:5" x14ac:dyDescent="0.25">
      <c r="A309" s="2">
        <v>43773</v>
      </c>
      <c r="B309">
        <v>2019</v>
      </c>
      <c r="C309">
        <v>11</v>
      </c>
      <c r="D309" s="1" t="s">
        <v>1026</v>
      </c>
      <c r="E309" s="1" t="s">
        <v>1025</v>
      </c>
    </row>
    <row r="310" spans="1:5" x14ac:dyDescent="0.25">
      <c r="A310" s="2">
        <v>43774</v>
      </c>
      <c r="B310">
        <v>2019</v>
      </c>
      <c r="C310">
        <v>11</v>
      </c>
      <c r="D310" s="1" t="s">
        <v>1026</v>
      </c>
      <c r="E310" s="1" t="s">
        <v>1025</v>
      </c>
    </row>
    <row r="311" spans="1:5" x14ac:dyDescent="0.25">
      <c r="A311" s="2">
        <v>43775</v>
      </c>
      <c r="B311">
        <v>2019</v>
      </c>
      <c r="C311">
        <v>11</v>
      </c>
      <c r="D311" s="1" t="s">
        <v>1026</v>
      </c>
      <c r="E311" s="1" t="s">
        <v>1025</v>
      </c>
    </row>
    <row r="312" spans="1:5" x14ac:dyDescent="0.25">
      <c r="A312" s="2">
        <v>43776</v>
      </c>
      <c r="B312">
        <v>2019</v>
      </c>
      <c r="C312">
        <v>11</v>
      </c>
      <c r="D312" s="1" t="s">
        <v>1026</v>
      </c>
      <c r="E312" s="1" t="s">
        <v>1025</v>
      </c>
    </row>
    <row r="313" spans="1:5" x14ac:dyDescent="0.25">
      <c r="A313" s="2">
        <v>43777</v>
      </c>
      <c r="B313">
        <v>2019</v>
      </c>
      <c r="C313">
        <v>11</v>
      </c>
      <c r="D313" s="1" t="s">
        <v>1026</v>
      </c>
      <c r="E313" s="1" t="s">
        <v>1025</v>
      </c>
    </row>
    <row r="314" spans="1:5" x14ac:dyDescent="0.25">
      <c r="A314" s="2">
        <v>43778</v>
      </c>
      <c r="B314">
        <v>2019</v>
      </c>
      <c r="C314">
        <v>11</v>
      </c>
      <c r="D314" s="1" t="s">
        <v>1026</v>
      </c>
      <c r="E314" s="1" t="s">
        <v>1025</v>
      </c>
    </row>
    <row r="315" spans="1:5" x14ac:dyDescent="0.25">
      <c r="A315" s="2">
        <v>43779</v>
      </c>
      <c r="B315">
        <v>2019</v>
      </c>
      <c r="C315">
        <v>11</v>
      </c>
      <c r="D315" s="1" t="s">
        <v>1026</v>
      </c>
      <c r="E315" s="1" t="s">
        <v>1025</v>
      </c>
    </row>
    <row r="316" spans="1:5" x14ac:dyDescent="0.25">
      <c r="A316" s="2">
        <v>43780</v>
      </c>
      <c r="B316">
        <v>2019</v>
      </c>
      <c r="C316">
        <v>11</v>
      </c>
      <c r="D316" s="1" t="s">
        <v>1026</v>
      </c>
      <c r="E316" s="1" t="s">
        <v>1025</v>
      </c>
    </row>
    <row r="317" spans="1:5" x14ac:dyDescent="0.25">
      <c r="A317" s="2">
        <v>43781</v>
      </c>
      <c r="B317">
        <v>2019</v>
      </c>
      <c r="C317">
        <v>11</v>
      </c>
      <c r="D317" s="1" t="s">
        <v>1026</v>
      </c>
      <c r="E317" s="1" t="s">
        <v>1025</v>
      </c>
    </row>
    <row r="318" spans="1:5" x14ac:dyDescent="0.25">
      <c r="A318" s="2">
        <v>43782</v>
      </c>
      <c r="B318">
        <v>2019</v>
      </c>
      <c r="C318">
        <v>11</v>
      </c>
      <c r="D318" s="1" t="s">
        <v>1026</v>
      </c>
      <c r="E318" s="1" t="s">
        <v>1025</v>
      </c>
    </row>
    <row r="319" spans="1:5" x14ac:dyDescent="0.25">
      <c r="A319" s="2">
        <v>43783</v>
      </c>
      <c r="B319">
        <v>2019</v>
      </c>
      <c r="C319">
        <v>11</v>
      </c>
      <c r="D319" s="1" t="s">
        <v>1026</v>
      </c>
      <c r="E319" s="1" t="s">
        <v>1025</v>
      </c>
    </row>
    <row r="320" spans="1:5" x14ac:dyDescent="0.25">
      <c r="A320" s="2">
        <v>43784</v>
      </c>
      <c r="B320">
        <v>2019</v>
      </c>
      <c r="C320">
        <v>11</v>
      </c>
      <c r="D320" s="1" t="s">
        <v>1026</v>
      </c>
      <c r="E320" s="1" t="s">
        <v>1025</v>
      </c>
    </row>
    <row r="321" spans="1:5" x14ac:dyDescent="0.25">
      <c r="A321" s="2">
        <v>43785</v>
      </c>
      <c r="B321">
        <v>2019</v>
      </c>
      <c r="C321">
        <v>11</v>
      </c>
      <c r="D321" s="1" t="s">
        <v>1026</v>
      </c>
      <c r="E321" s="1" t="s">
        <v>1025</v>
      </c>
    </row>
    <row r="322" spans="1:5" x14ac:dyDescent="0.25">
      <c r="A322" s="2">
        <v>43786</v>
      </c>
      <c r="B322">
        <v>2019</v>
      </c>
      <c r="C322">
        <v>11</v>
      </c>
      <c r="D322" s="1" t="s">
        <v>1026</v>
      </c>
      <c r="E322" s="1" t="s">
        <v>1025</v>
      </c>
    </row>
    <row r="323" spans="1:5" x14ac:dyDescent="0.25">
      <c r="A323" s="2">
        <v>43787</v>
      </c>
      <c r="B323">
        <v>2019</v>
      </c>
      <c r="C323">
        <v>11</v>
      </c>
      <c r="D323" s="1" t="s">
        <v>1026</v>
      </c>
      <c r="E323" s="1" t="s">
        <v>1025</v>
      </c>
    </row>
    <row r="324" spans="1:5" x14ac:dyDescent="0.25">
      <c r="A324" s="2">
        <v>43788</v>
      </c>
      <c r="B324">
        <v>2019</v>
      </c>
      <c r="C324">
        <v>11</v>
      </c>
      <c r="D324" s="1" t="s">
        <v>1026</v>
      </c>
      <c r="E324" s="1" t="s">
        <v>1025</v>
      </c>
    </row>
    <row r="325" spans="1:5" x14ac:dyDescent="0.25">
      <c r="A325" s="2">
        <v>43789</v>
      </c>
      <c r="B325">
        <v>2019</v>
      </c>
      <c r="C325">
        <v>11</v>
      </c>
      <c r="D325" s="1" t="s">
        <v>1026</v>
      </c>
      <c r="E325" s="1" t="s">
        <v>1025</v>
      </c>
    </row>
    <row r="326" spans="1:5" x14ac:dyDescent="0.25">
      <c r="A326" s="2">
        <v>43790</v>
      </c>
      <c r="B326">
        <v>2019</v>
      </c>
      <c r="C326">
        <v>11</v>
      </c>
      <c r="D326" s="1" t="s">
        <v>1026</v>
      </c>
      <c r="E326" s="1" t="s">
        <v>1025</v>
      </c>
    </row>
    <row r="327" spans="1:5" x14ac:dyDescent="0.25">
      <c r="A327" s="2">
        <v>43791</v>
      </c>
      <c r="B327">
        <v>2019</v>
      </c>
      <c r="C327">
        <v>11</v>
      </c>
      <c r="D327" s="1" t="s">
        <v>1026</v>
      </c>
      <c r="E327" s="1" t="s">
        <v>1025</v>
      </c>
    </row>
    <row r="328" spans="1:5" x14ac:dyDescent="0.25">
      <c r="A328" s="2">
        <v>43792</v>
      </c>
      <c r="B328">
        <v>2019</v>
      </c>
      <c r="C328">
        <v>11</v>
      </c>
      <c r="D328" s="1" t="s">
        <v>1026</v>
      </c>
      <c r="E328" s="1" t="s">
        <v>1025</v>
      </c>
    </row>
    <row r="329" spans="1:5" x14ac:dyDescent="0.25">
      <c r="A329" s="2">
        <v>43793</v>
      </c>
      <c r="B329">
        <v>2019</v>
      </c>
      <c r="C329">
        <v>11</v>
      </c>
      <c r="D329" s="1" t="s">
        <v>1026</v>
      </c>
      <c r="E329" s="1" t="s">
        <v>1025</v>
      </c>
    </row>
    <row r="330" spans="1:5" x14ac:dyDescent="0.25">
      <c r="A330" s="2">
        <v>43794</v>
      </c>
      <c r="B330">
        <v>2019</v>
      </c>
      <c r="C330">
        <v>11</v>
      </c>
      <c r="D330" s="1" t="s">
        <v>1026</v>
      </c>
      <c r="E330" s="1" t="s">
        <v>1025</v>
      </c>
    </row>
    <row r="331" spans="1:5" x14ac:dyDescent="0.25">
      <c r="A331" s="2">
        <v>43795</v>
      </c>
      <c r="B331">
        <v>2019</v>
      </c>
      <c r="C331">
        <v>11</v>
      </c>
      <c r="D331" s="1" t="s">
        <v>1026</v>
      </c>
      <c r="E331" s="1" t="s">
        <v>1025</v>
      </c>
    </row>
    <row r="332" spans="1:5" x14ac:dyDescent="0.25">
      <c r="A332" s="2">
        <v>43796</v>
      </c>
      <c r="B332">
        <v>2019</v>
      </c>
      <c r="C332">
        <v>11</v>
      </c>
      <c r="D332" s="1" t="s">
        <v>1026</v>
      </c>
      <c r="E332" s="1" t="s">
        <v>1025</v>
      </c>
    </row>
    <row r="333" spans="1:5" x14ac:dyDescent="0.25">
      <c r="A333" s="2">
        <v>43797</v>
      </c>
      <c r="B333">
        <v>2019</v>
      </c>
      <c r="C333">
        <v>11</v>
      </c>
      <c r="D333" s="1" t="s">
        <v>1026</v>
      </c>
      <c r="E333" s="1" t="s">
        <v>1025</v>
      </c>
    </row>
    <row r="334" spans="1:5" x14ac:dyDescent="0.25">
      <c r="A334" s="2">
        <v>43798</v>
      </c>
      <c r="B334">
        <v>2019</v>
      </c>
      <c r="C334">
        <v>11</v>
      </c>
      <c r="D334" s="1" t="s">
        <v>1026</v>
      </c>
      <c r="E334" s="1" t="s">
        <v>1025</v>
      </c>
    </row>
    <row r="335" spans="1:5" x14ac:dyDescent="0.25">
      <c r="A335" s="2">
        <v>43799</v>
      </c>
      <c r="B335">
        <v>2019</v>
      </c>
      <c r="C335">
        <v>11</v>
      </c>
      <c r="D335" s="1" t="s">
        <v>1026</v>
      </c>
      <c r="E335" s="1" t="s">
        <v>1025</v>
      </c>
    </row>
    <row r="336" spans="1:5" x14ac:dyDescent="0.25">
      <c r="A336" s="2">
        <v>43800</v>
      </c>
      <c r="B336">
        <v>2019</v>
      </c>
      <c r="C336">
        <v>12</v>
      </c>
      <c r="D336" s="1" t="s">
        <v>1027</v>
      </c>
      <c r="E336" s="1" t="s">
        <v>1025</v>
      </c>
    </row>
    <row r="337" spans="1:5" x14ac:dyDescent="0.25">
      <c r="A337" s="2">
        <v>43801</v>
      </c>
      <c r="B337">
        <v>2019</v>
      </c>
      <c r="C337">
        <v>12</v>
      </c>
      <c r="D337" s="1" t="s">
        <v>1027</v>
      </c>
      <c r="E337" s="1" t="s">
        <v>1025</v>
      </c>
    </row>
    <row r="338" spans="1:5" x14ac:dyDescent="0.25">
      <c r="A338" s="2">
        <v>43802</v>
      </c>
      <c r="B338">
        <v>2019</v>
      </c>
      <c r="C338">
        <v>12</v>
      </c>
      <c r="D338" s="1" t="s">
        <v>1027</v>
      </c>
      <c r="E338" s="1" t="s">
        <v>1025</v>
      </c>
    </row>
    <row r="339" spans="1:5" x14ac:dyDescent="0.25">
      <c r="A339" s="2">
        <v>43803</v>
      </c>
      <c r="B339">
        <v>2019</v>
      </c>
      <c r="C339">
        <v>12</v>
      </c>
      <c r="D339" s="1" t="s">
        <v>1027</v>
      </c>
      <c r="E339" s="1" t="s">
        <v>1025</v>
      </c>
    </row>
    <row r="340" spans="1:5" x14ac:dyDescent="0.25">
      <c r="A340" s="2">
        <v>43804</v>
      </c>
      <c r="B340">
        <v>2019</v>
      </c>
      <c r="C340">
        <v>12</v>
      </c>
      <c r="D340" s="1" t="s">
        <v>1027</v>
      </c>
      <c r="E340" s="1" t="s">
        <v>1025</v>
      </c>
    </row>
    <row r="341" spans="1:5" x14ac:dyDescent="0.25">
      <c r="A341" s="2">
        <v>43805</v>
      </c>
      <c r="B341">
        <v>2019</v>
      </c>
      <c r="C341">
        <v>12</v>
      </c>
      <c r="D341" s="1" t="s">
        <v>1027</v>
      </c>
      <c r="E341" s="1" t="s">
        <v>1025</v>
      </c>
    </row>
    <row r="342" spans="1:5" x14ac:dyDescent="0.25">
      <c r="A342" s="2">
        <v>43806</v>
      </c>
      <c r="B342">
        <v>2019</v>
      </c>
      <c r="C342">
        <v>12</v>
      </c>
      <c r="D342" s="1" t="s">
        <v>1027</v>
      </c>
      <c r="E342" s="1" t="s">
        <v>1025</v>
      </c>
    </row>
    <row r="343" spans="1:5" x14ac:dyDescent="0.25">
      <c r="A343" s="2">
        <v>43807</v>
      </c>
      <c r="B343">
        <v>2019</v>
      </c>
      <c r="C343">
        <v>12</v>
      </c>
      <c r="D343" s="1" t="s">
        <v>1027</v>
      </c>
      <c r="E343" s="1" t="s">
        <v>1025</v>
      </c>
    </row>
    <row r="344" spans="1:5" x14ac:dyDescent="0.25">
      <c r="A344" s="2">
        <v>43808</v>
      </c>
      <c r="B344">
        <v>2019</v>
      </c>
      <c r="C344">
        <v>12</v>
      </c>
      <c r="D344" s="1" t="s">
        <v>1027</v>
      </c>
      <c r="E344" s="1" t="s">
        <v>1025</v>
      </c>
    </row>
    <row r="345" spans="1:5" x14ac:dyDescent="0.25">
      <c r="A345" s="2">
        <v>43809</v>
      </c>
      <c r="B345">
        <v>2019</v>
      </c>
      <c r="C345">
        <v>12</v>
      </c>
      <c r="D345" s="1" t="s">
        <v>1027</v>
      </c>
      <c r="E345" s="1" t="s">
        <v>1025</v>
      </c>
    </row>
    <row r="346" spans="1:5" x14ac:dyDescent="0.25">
      <c r="A346" s="2">
        <v>43810</v>
      </c>
      <c r="B346">
        <v>2019</v>
      </c>
      <c r="C346">
        <v>12</v>
      </c>
      <c r="D346" s="1" t="s">
        <v>1027</v>
      </c>
      <c r="E346" s="1" t="s">
        <v>1025</v>
      </c>
    </row>
    <row r="347" spans="1:5" x14ac:dyDescent="0.25">
      <c r="A347" s="2">
        <v>43811</v>
      </c>
      <c r="B347">
        <v>2019</v>
      </c>
      <c r="C347">
        <v>12</v>
      </c>
      <c r="D347" s="1" t="s">
        <v>1027</v>
      </c>
      <c r="E347" s="1" t="s">
        <v>1025</v>
      </c>
    </row>
    <row r="348" spans="1:5" x14ac:dyDescent="0.25">
      <c r="A348" s="2">
        <v>43812</v>
      </c>
      <c r="B348">
        <v>2019</v>
      </c>
      <c r="C348">
        <v>12</v>
      </c>
      <c r="D348" s="1" t="s">
        <v>1027</v>
      </c>
      <c r="E348" s="1" t="s">
        <v>1025</v>
      </c>
    </row>
    <row r="349" spans="1:5" x14ac:dyDescent="0.25">
      <c r="A349" s="2">
        <v>43813</v>
      </c>
      <c r="B349">
        <v>2019</v>
      </c>
      <c r="C349">
        <v>12</v>
      </c>
      <c r="D349" s="1" t="s">
        <v>1027</v>
      </c>
      <c r="E349" s="1" t="s">
        <v>1025</v>
      </c>
    </row>
    <row r="350" spans="1:5" x14ac:dyDescent="0.25">
      <c r="A350" s="2">
        <v>43814</v>
      </c>
      <c r="B350">
        <v>2019</v>
      </c>
      <c r="C350">
        <v>12</v>
      </c>
      <c r="D350" s="1" t="s">
        <v>1027</v>
      </c>
      <c r="E350" s="1" t="s">
        <v>1025</v>
      </c>
    </row>
    <row r="351" spans="1:5" x14ac:dyDescent="0.25">
      <c r="A351" s="2">
        <v>43815</v>
      </c>
      <c r="B351">
        <v>2019</v>
      </c>
      <c r="C351">
        <v>12</v>
      </c>
      <c r="D351" s="1" t="s">
        <v>1027</v>
      </c>
      <c r="E351" s="1" t="s">
        <v>1025</v>
      </c>
    </row>
    <row r="352" spans="1:5" x14ac:dyDescent="0.25">
      <c r="A352" s="2">
        <v>43816</v>
      </c>
      <c r="B352">
        <v>2019</v>
      </c>
      <c r="C352">
        <v>12</v>
      </c>
      <c r="D352" s="1" t="s">
        <v>1027</v>
      </c>
      <c r="E352" s="1" t="s">
        <v>1025</v>
      </c>
    </row>
    <row r="353" spans="1:5" x14ac:dyDescent="0.25">
      <c r="A353" s="2">
        <v>43817</v>
      </c>
      <c r="B353">
        <v>2019</v>
      </c>
      <c r="C353">
        <v>12</v>
      </c>
      <c r="D353" s="1" t="s">
        <v>1027</v>
      </c>
      <c r="E353" s="1" t="s">
        <v>1025</v>
      </c>
    </row>
    <row r="354" spans="1:5" x14ac:dyDescent="0.25">
      <c r="A354" s="2">
        <v>43818</v>
      </c>
      <c r="B354">
        <v>2019</v>
      </c>
      <c r="C354">
        <v>12</v>
      </c>
      <c r="D354" s="1" t="s">
        <v>1027</v>
      </c>
      <c r="E354" s="1" t="s">
        <v>1025</v>
      </c>
    </row>
    <row r="355" spans="1:5" x14ac:dyDescent="0.25">
      <c r="A355" s="2">
        <v>43819</v>
      </c>
      <c r="B355">
        <v>2019</v>
      </c>
      <c r="C355">
        <v>12</v>
      </c>
      <c r="D355" s="1" t="s">
        <v>1027</v>
      </c>
      <c r="E355" s="1" t="s">
        <v>1025</v>
      </c>
    </row>
    <row r="356" spans="1:5" x14ac:dyDescent="0.25">
      <c r="A356" s="2">
        <v>43820</v>
      </c>
      <c r="B356">
        <v>2019</v>
      </c>
      <c r="C356">
        <v>12</v>
      </c>
      <c r="D356" s="1" t="s">
        <v>1027</v>
      </c>
      <c r="E356" s="1" t="s">
        <v>1025</v>
      </c>
    </row>
    <row r="357" spans="1:5" x14ac:dyDescent="0.25">
      <c r="A357" s="2">
        <v>43821</v>
      </c>
      <c r="B357">
        <v>2019</v>
      </c>
      <c r="C357">
        <v>12</v>
      </c>
      <c r="D357" s="1" t="s">
        <v>1027</v>
      </c>
      <c r="E357" s="1" t="s">
        <v>1025</v>
      </c>
    </row>
    <row r="358" spans="1:5" x14ac:dyDescent="0.25">
      <c r="A358" s="2">
        <v>43822</v>
      </c>
      <c r="B358">
        <v>2019</v>
      </c>
      <c r="C358">
        <v>12</v>
      </c>
      <c r="D358" s="1" t="s">
        <v>1027</v>
      </c>
      <c r="E358" s="1" t="s">
        <v>1025</v>
      </c>
    </row>
    <row r="359" spans="1:5" x14ac:dyDescent="0.25">
      <c r="A359" s="2">
        <v>43823</v>
      </c>
      <c r="B359">
        <v>2019</v>
      </c>
      <c r="C359">
        <v>12</v>
      </c>
      <c r="D359" s="1" t="s">
        <v>1027</v>
      </c>
      <c r="E359" s="1" t="s">
        <v>1025</v>
      </c>
    </row>
    <row r="360" spans="1:5" x14ac:dyDescent="0.25">
      <c r="A360" s="2">
        <v>43824</v>
      </c>
      <c r="B360">
        <v>2019</v>
      </c>
      <c r="C360">
        <v>12</v>
      </c>
      <c r="D360" s="1" t="s">
        <v>1027</v>
      </c>
      <c r="E360" s="1" t="s">
        <v>1025</v>
      </c>
    </row>
    <row r="361" spans="1:5" x14ac:dyDescent="0.25">
      <c r="A361" s="2">
        <v>43825</v>
      </c>
      <c r="B361">
        <v>2019</v>
      </c>
      <c r="C361">
        <v>12</v>
      </c>
      <c r="D361" s="1" t="s">
        <v>1027</v>
      </c>
      <c r="E361" s="1" t="s">
        <v>1025</v>
      </c>
    </row>
    <row r="362" spans="1:5" x14ac:dyDescent="0.25">
      <c r="A362" s="2">
        <v>43826</v>
      </c>
      <c r="B362">
        <v>2019</v>
      </c>
      <c r="C362">
        <v>12</v>
      </c>
      <c r="D362" s="1" t="s">
        <v>1027</v>
      </c>
      <c r="E362" s="1" t="s">
        <v>1025</v>
      </c>
    </row>
    <row r="363" spans="1:5" x14ac:dyDescent="0.25">
      <c r="A363" s="2">
        <v>43827</v>
      </c>
      <c r="B363">
        <v>2019</v>
      </c>
      <c r="C363">
        <v>12</v>
      </c>
      <c r="D363" s="1" t="s">
        <v>1027</v>
      </c>
      <c r="E363" s="1" t="s">
        <v>1025</v>
      </c>
    </row>
    <row r="364" spans="1:5" x14ac:dyDescent="0.25">
      <c r="A364" s="2">
        <v>43828</v>
      </c>
      <c r="B364">
        <v>2019</v>
      </c>
      <c r="C364">
        <v>12</v>
      </c>
      <c r="D364" s="1" t="s">
        <v>1027</v>
      </c>
      <c r="E364" s="1" t="s">
        <v>1025</v>
      </c>
    </row>
    <row r="365" spans="1:5" x14ac:dyDescent="0.25">
      <c r="A365" s="2">
        <v>43829</v>
      </c>
      <c r="B365">
        <v>2019</v>
      </c>
      <c r="C365">
        <v>12</v>
      </c>
      <c r="D365" s="1" t="s">
        <v>1027</v>
      </c>
      <c r="E365" s="1" t="s">
        <v>1025</v>
      </c>
    </row>
    <row r="366" spans="1:5" x14ac:dyDescent="0.25">
      <c r="A366" s="2">
        <v>43830</v>
      </c>
      <c r="B366">
        <v>2019</v>
      </c>
      <c r="C366">
        <v>12</v>
      </c>
      <c r="D366" s="1" t="s">
        <v>1027</v>
      </c>
      <c r="E366" s="1" t="s">
        <v>1025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FBF2C-1390-454A-8A39-9DB5579D3A35}">
  <sheetPr codeName="Sheet5"/>
  <dimension ref="A1:B4"/>
  <sheetViews>
    <sheetView workbookViewId="0">
      <selection activeCell="A3" sqref="A3"/>
    </sheetView>
  </sheetViews>
  <sheetFormatPr defaultRowHeight="15" x14ac:dyDescent="0.25"/>
  <cols>
    <col min="1" max="1" width="19.140625" bestFit="1" customWidth="1"/>
    <col min="2" max="2" width="15.42578125" bestFit="1" customWidth="1"/>
  </cols>
  <sheetData>
    <row r="1" spans="1:2" x14ac:dyDescent="0.25">
      <c r="A1" t="s">
        <v>1029</v>
      </c>
      <c r="B1" t="s">
        <v>1028</v>
      </c>
    </row>
    <row r="2" spans="1:2" x14ac:dyDescent="0.25">
      <c r="A2" s="1" t="s">
        <v>10</v>
      </c>
      <c r="B2" s="1" t="s">
        <v>1030</v>
      </c>
    </row>
    <row r="3" spans="1:2" x14ac:dyDescent="0.25">
      <c r="A3" s="1" t="s">
        <v>82</v>
      </c>
      <c r="B3" s="1" t="s">
        <v>1031</v>
      </c>
    </row>
    <row r="4" spans="1:2" x14ac:dyDescent="0.25">
      <c r="A4" s="1" t="s">
        <v>21</v>
      </c>
      <c r="B4" s="1" t="s">
        <v>1032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FBD882C8-F4A9-4DBE-AC1E-F9E61C775A00}">
  <ds:schemaRefs/>
</ds:datastoreItem>
</file>

<file path=customXml/itemProps2.xml><?xml version="1.0" encoding="utf-8"?>
<ds:datastoreItem xmlns:ds="http://schemas.openxmlformats.org/officeDocument/2006/customXml" ds:itemID="{A5327557-A4AB-4970-B112-9DF079624124}">
  <ds:schemaRefs/>
</ds:datastoreItem>
</file>

<file path=customXml/itemProps3.xml><?xml version="1.0" encoding="utf-8"?>
<ds:datastoreItem xmlns:ds="http://schemas.openxmlformats.org/officeDocument/2006/customXml" ds:itemID="{EF66A32F-8DB0-4885-BA6B-0CC17843554A}">
  <ds:schemaRefs/>
</ds:datastoreItem>
</file>

<file path=customXml/itemProps4.xml><?xml version="1.0" encoding="utf-8"?>
<ds:datastoreItem xmlns:ds="http://schemas.openxmlformats.org/officeDocument/2006/customXml" ds:itemID="{E2391A0B-5DAB-46B1-9BA8-8829A3A01725}">
  <ds:schemaRefs/>
</ds:datastoreItem>
</file>

<file path=customXml/itemProps5.xml><?xml version="1.0" encoding="utf-8"?>
<ds:datastoreItem xmlns:ds="http://schemas.openxmlformats.org/officeDocument/2006/customXml" ds:itemID="{A0CEF41B-5073-4816-AE42-0437182D3C06}">
  <ds:schemaRefs/>
</ds:datastoreItem>
</file>

<file path=customXml/itemProps6.xml><?xml version="1.0" encoding="utf-8"?>
<ds:datastoreItem xmlns:ds="http://schemas.openxmlformats.org/officeDocument/2006/customXml" ds:itemID="{A049886B-197E-444C-92BF-FDEEA96D5C7B}">
  <ds:schemaRefs/>
</ds:datastoreItem>
</file>

<file path=customXml/itemProps7.xml><?xml version="1.0" encoding="utf-8"?>
<ds:datastoreItem xmlns:ds="http://schemas.openxmlformats.org/officeDocument/2006/customXml" ds:itemID="{06FDFFE7-98B9-45DA-AF9D-28CB8160E5D9}">
  <ds:schemaRefs/>
</ds:datastoreItem>
</file>

<file path=customXml/itemProps8.xml><?xml version="1.0" encoding="utf-8"?>
<ds:datastoreItem xmlns:ds="http://schemas.openxmlformats.org/officeDocument/2006/customXml" ds:itemID="{EAB4979F-4A16-4433-AE3B-EB49FF27FD11}">
  <ds:schemaRefs/>
</ds:datastoreItem>
</file>

<file path=customXml/itemProps9.xml><?xml version="1.0" encoding="utf-8"?>
<ds:datastoreItem xmlns:ds="http://schemas.openxmlformats.org/officeDocument/2006/customXml" ds:itemID="{F982392F-9F08-4C63-919B-A5C813F805E2}">
  <ds:schemaRefs/>
</ds:datastoreItem>
</file>

<file path=customXml/itemProps10.xml><?xml version="1.0" encoding="utf-8"?>
<ds:datastoreItem xmlns:ds="http://schemas.openxmlformats.org/officeDocument/2006/customXml" ds:itemID="{3800874D-2CA0-418C-9B36-9E3F2C1EA0EA}">
  <ds:schemaRefs/>
</ds:datastoreItem>
</file>

<file path=customXml/itemProps11.xml><?xml version="1.0" encoding="utf-8"?>
<ds:datastoreItem xmlns:ds="http://schemas.openxmlformats.org/officeDocument/2006/customXml" ds:itemID="{806D7256-5B44-4922-9FA0-516F1700FD8E}">
  <ds:schemaRefs/>
</ds:datastoreItem>
</file>

<file path=customXml/itemProps12.xml><?xml version="1.0" encoding="utf-8"?>
<ds:datastoreItem xmlns:ds="http://schemas.openxmlformats.org/officeDocument/2006/customXml" ds:itemID="{69109015-F9F1-4D0D-BADB-9DA4A61708C1}">
  <ds:schemaRefs/>
</ds:datastoreItem>
</file>

<file path=customXml/itemProps13.xml><?xml version="1.0" encoding="utf-8"?>
<ds:datastoreItem xmlns:ds="http://schemas.openxmlformats.org/officeDocument/2006/customXml" ds:itemID="{1F240F2A-7FAA-4043-9EBC-90698E56059A}">
  <ds:schemaRefs/>
</ds:datastoreItem>
</file>

<file path=customXml/itemProps14.xml><?xml version="1.0" encoding="utf-8"?>
<ds:datastoreItem xmlns:ds="http://schemas.openxmlformats.org/officeDocument/2006/customXml" ds:itemID="{3B8E7F04-3038-4FE1-AFFA-954C701C303D}">
  <ds:schemaRefs/>
</ds:datastoreItem>
</file>

<file path=customXml/itemProps15.xml><?xml version="1.0" encoding="utf-8"?>
<ds:datastoreItem xmlns:ds="http://schemas.openxmlformats.org/officeDocument/2006/customXml" ds:itemID="{C576A304-33D7-4791-BD29-41998BF0A9A2}">
  <ds:schemaRefs/>
</ds:datastoreItem>
</file>

<file path=customXml/itemProps16.xml><?xml version="1.0" encoding="utf-8"?>
<ds:datastoreItem xmlns:ds="http://schemas.openxmlformats.org/officeDocument/2006/customXml" ds:itemID="{808179F3-E433-42BB-9AF1-8A98438BBC3F}">
  <ds:schemaRefs/>
</ds:datastoreItem>
</file>

<file path=customXml/itemProps17.xml><?xml version="1.0" encoding="utf-8"?>
<ds:datastoreItem xmlns:ds="http://schemas.openxmlformats.org/officeDocument/2006/customXml" ds:itemID="{D32CA83F-1B15-4B51-905D-A81D004B241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Sheet2</vt:lpstr>
      <vt:lpstr>Dashboard</vt:lpstr>
      <vt:lpstr>master_data_2</vt:lpstr>
      <vt:lpstr>sales date</vt:lpstr>
      <vt:lpstr>warehouse 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dc:creator>
  <cp:lastModifiedBy>Ryan</cp:lastModifiedBy>
  <dcterms:created xsi:type="dcterms:W3CDTF">2022-01-03T21:10:14Z</dcterms:created>
  <dcterms:modified xsi:type="dcterms:W3CDTF">2022-01-23T20:52:25Z</dcterms:modified>
</cp:coreProperties>
</file>